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santandernet-my.sharepoint.com/personal/n626516_gruposantander_com1/Documents/Escritorio/Universidad/UNIR/TFM/AFI 2024 FRTB/frtb_calculadoras_afi_resuelto/Soluciones/Metodo Estándar/GIRR/"/>
    </mc:Choice>
  </mc:AlternateContent>
  <xr:revisionPtr revIDLastSave="6" documentId="13_ncr:1_{4035F566-6EA9-4703-9738-468FB943DE60}" xr6:coauthVersionLast="47" xr6:coauthVersionMax="47" xr10:uidLastSave="{0C63D0A0-8AF8-43A6-9371-B23C1C630EBA}"/>
  <bookViews>
    <workbookView xWindow="-120" yWindow="-120" windowWidth="29040" windowHeight="15720" activeTab="7" xr2:uid="{00000000-000D-0000-FFFF-FFFF00000000}"/>
  </bookViews>
  <sheets>
    <sheet name="correlaciones" sheetId="1" r:id="rId1"/>
    <sheet name="delta GIRR 1" sheetId="2" r:id="rId2"/>
    <sheet name="delta GIRR 2" sheetId="3" r:id="rId3"/>
    <sheet name="delta GIRR 3" sheetId="4" r:id="rId4"/>
    <sheet name="delta GIRR 4" sheetId="5" r:id="rId5"/>
    <sheet name="delta GIRR 5" sheetId="6" r:id="rId6"/>
    <sheet name="delta GIRR 6" sheetId="7" r:id="rId7"/>
    <sheet name="ejercicio resuelto" sheetId="9" r:id="rId8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27" i="5" l="1"/>
  <c r="K27" i="5"/>
  <c r="L27" i="5"/>
  <c r="M27" i="5"/>
  <c r="N27" i="5"/>
  <c r="O27" i="5"/>
  <c r="P27" i="5"/>
  <c r="Q27" i="5"/>
  <c r="R27" i="5"/>
  <c r="S27" i="5"/>
  <c r="T27" i="5"/>
  <c r="U27" i="5"/>
  <c r="J28" i="5"/>
  <c r="K28" i="5"/>
  <c r="L28" i="5"/>
  <c r="M28" i="5"/>
  <c r="N28" i="5"/>
  <c r="O28" i="5"/>
  <c r="P28" i="5"/>
  <c r="Q28" i="5"/>
  <c r="R28" i="5"/>
  <c r="S28" i="5"/>
  <c r="T28" i="5"/>
  <c r="U28" i="5"/>
  <c r="J29" i="5"/>
  <c r="K29" i="5"/>
  <c r="L29" i="5"/>
  <c r="M29" i="5"/>
  <c r="N29" i="5"/>
  <c r="O29" i="5"/>
  <c r="P29" i="5"/>
  <c r="Q29" i="5"/>
  <c r="R29" i="5"/>
  <c r="S29" i="5"/>
  <c r="T29" i="5"/>
  <c r="U29" i="5"/>
  <c r="J30" i="5"/>
  <c r="K30" i="5"/>
  <c r="L30" i="5"/>
  <c r="M30" i="5"/>
  <c r="N30" i="5"/>
  <c r="O30" i="5"/>
  <c r="P30" i="5"/>
  <c r="Q30" i="5"/>
  <c r="R30" i="5"/>
  <c r="S30" i="5"/>
  <c r="T30" i="5"/>
  <c r="U30" i="5"/>
  <c r="J31" i="5"/>
  <c r="K31" i="5"/>
  <c r="L31" i="5"/>
  <c r="M31" i="5"/>
  <c r="N31" i="5"/>
  <c r="O31" i="5"/>
  <c r="P31" i="5"/>
  <c r="Q31" i="5"/>
  <c r="R31" i="5"/>
  <c r="S31" i="5"/>
  <c r="T31" i="5"/>
  <c r="U31" i="5"/>
  <c r="J32" i="5"/>
  <c r="K32" i="5"/>
  <c r="L32" i="5"/>
  <c r="M32" i="5"/>
  <c r="N32" i="5"/>
  <c r="O32" i="5"/>
  <c r="P32" i="5"/>
  <c r="Q32" i="5"/>
  <c r="R32" i="5"/>
  <c r="S32" i="5"/>
  <c r="T32" i="5"/>
  <c r="U32" i="5"/>
  <c r="J33" i="5"/>
  <c r="K33" i="5"/>
  <c r="L33" i="5"/>
  <c r="M33" i="5"/>
  <c r="N33" i="5"/>
  <c r="O33" i="5"/>
  <c r="P33" i="5"/>
  <c r="Q33" i="5"/>
  <c r="R33" i="5"/>
  <c r="S33" i="5"/>
  <c r="T33" i="5"/>
  <c r="U33" i="5"/>
  <c r="J34" i="5"/>
  <c r="K34" i="5"/>
  <c r="L34" i="5"/>
  <c r="M34" i="5"/>
  <c r="N34" i="5"/>
  <c r="O34" i="5"/>
  <c r="P34" i="5"/>
  <c r="Q34" i="5"/>
  <c r="R34" i="5"/>
  <c r="S34" i="5"/>
  <c r="T34" i="5"/>
  <c r="U34" i="5"/>
  <c r="J35" i="5"/>
  <c r="K35" i="5"/>
  <c r="L35" i="5"/>
  <c r="M35" i="5"/>
  <c r="N35" i="5"/>
  <c r="O35" i="5"/>
  <c r="P35" i="5"/>
  <c r="Q35" i="5"/>
  <c r="R35" i="5"/>
  <c r="S35" i="5"/>
  <c r="T35" i="5"/>
  <c r="U35" i="5"/>
  <c r="J36" i="5"/>
  <c r="K36" i="5"/>
  <c r="L36" i="5"/>
  <c r="M36" i="5"/>
  <c r="N36" i="5"/>
  <c r="O36" i="5"/>
  <c r="P36" i="5"/>
  <c r="Q36" i="5"/>
  <c r="R36" i="5"/>
  <c r="S36" i="5"/>
  <c r="T36" i="5"/>
  <c r="U36" i="5"/>
  <c r="J37" i="5"/>
  <c r="K37" i="5"/>
  <c r="L37" i="5"/>
  <c r="M37" i="5"/>
  <c r="N37" i="5"/>
  <c r="O37" i="5"/>
  <c r="P37" i="5"/>
  <c r="Q37" i="5"/>
  <c r="R37" i="5"/>
  <c r="S37" i="5"/>
  <c r="T37" i="5"/>
  <c r="U37" i="5"/>
  <c r="J38" i="5"/>
  <c r="K38" i="5"/>
  <c r="L38" i="5"/>
  <c r="M38" i="5"/>
  <c r="N38" i="5"/>
  <c r="O38" i="5"/>
  <c r="P38" i="5"/>
  <c r="Q38" i="5"/>
  <c r="R38" i="5"/>
  <c r="S38" i="5"/>
  <c r="T38" i="5"/>
  <c r="U38" i="5"/>
  <c r="A9" i="2"/>
  <c r="B78" i="9" l="1"/>
  <c r="Y34" i="9" s="1"/>
  <c r="Z33" i="9"/>
  <c r="Y33" i="9"/>
  <c r="Z32" i="9"/>
  <c r="X32" i="9"/>
  <c r="V32" i="9"/>
  <c r="Z31" i="9"/>
  <c r="Y31" i="9"/>
  <c r="V31" i="9"/>
  <c r="AA30" i="9"/>
  <c r="Z30" i="9"/>
  <c r="W30" i="9"/>
  <c r="V30" i="9"/>
  <c r="Z29" i="9"/>
  <c r="X29" i="9"/>
  <c r="V29" i="9"/>
  <c r="U28" i="9"/>
  <c r="R28" i="9"/>
  <c r="Q28" i="9"/>
  <c r="P28" i="9"/>
  <c r="S27" i="9"/>
  <c r="R27" i="9"/>
  <c r="P27" i="9"/>
  <c r="T26" i="9"/>
  <c r="R26" i="9"/>
  <c r="Q26" i="9"/>
  <c r="T25" i="9"/>
  <c r="S25" i="9"/>
  <c r="R25" i="9"/>
  <c r="U24" i="9"/>
  <c r="T24" i="9"/>
  <c r="R24" i="9"/>
  <c r="P24" i="9"/>
  <c r="T23" i="9"/>
  <c r="S23" i="9"/>
  <c r="P23" i="9"/>
  <c r="O46" i="9"/>
  <c r="N46" i="9"/>
  <c r="K46" i="9"/>
  <c r="J46" i="9"/>
  <c r="N45" i="9"/>
  <c r="L45" i="9"/>
  <c r="J45" i="9"/>
  <c r="O44" i="9"/>
  <c r="L44" i="9"/>
  <c r="K44" i="9"/>
  <c r="J44" i="9"/>
  <c r="M43" i="9"/>
  <c r="L43" i="9"/>
  <c r="J43" i="9"/>
  <c r="N42" i="9"/>
  <c r="L42" i="9"/>
  <c r="K42" i="9"/>
  <c r="N41" i="9"/>
  <c r="M41" i="9"/>
  <c r="L41" i="9"/>
  <c r="AA28" i="9"/>
  <c r="Z28" i="9"/>
  <c r="X28" i="9"/>
  <c r="V28" i="9"/>
  <c r="Z27" i="9"/>
  <c r="Y27" i="9"/>
  <c r="V27" i="9"/>
  <c r="AA26" i="9"/>
  <c r="Z26" i="9"/>
  <c r="W26" i="9"/>
  <c r="V26" i="9"/>
  <c r="Z25" i="9"/>
  <c r="X25" i="9"/>
  <c r="V25" i="9"/>
  <c r="AA24" i="9"/>
  <c r="X24" i="9"/>
  <c r="W24" i="9"/>
  <c r="V24" i="9"/>
  <c r="Y23" i="9"/>
  <c r="X23" i="9"/>
  <c r="V23" i="9"/>
  <c r="AA40" i="9"/>
  <c r="Z40" i="9"/>
  <c r="X40" i="9"/>
  <c r="W40" i="9"/>
  <c r="V40" i="9"/>
  <c r="Z39" i="9"/>
  <c r="Y39" i="9"/>
  <c r="X39" i="9"/>
  <c r="V39" i="9"/>
  <c r="AA38" i="9"/>
  <c r="Z38" i="9"/>
  <c r="X38" i="9"/>
  <c r="W38" i="9"/>
  <c r="V38" i="9"/>
  <c r="Z37" i="9"/>
  <c r="Y37" i="9"/>
  <c r="X37" i="9"/>
  <c r="V37" i="9"/>
  <c r="AA36" i="9"/>
  <c r="Z36" i="9"/>
  <c r="X36" i="9"/>
  <c r="W36" i="9"/>
  <c r="V36" i="9"/>
  <c r="Z35" i="9"/>
  <c r="Y35" i="9"/>
  <c r="X35" i="9"/>
  <c r="V35" i="9"/>
  <c r="U46" i="9"/>
  <c r="T46" i="9"/>
  <c r="R46" i="9"/>
  <c r="Q46" i="9"/>
  <c r="P46" i="9"/>
  <c r="T45" i="9"/>
  <c r="S45" i="9"/>
  <c r="R45" i="9"/>
  <c r="P45" i="9"/>
  <c r="U44" i="9"/>
  <c r="T44" i="9"/>
  <c r="R44" i="9"/>
  <c r="Q44" i="9"/>
  <c r="P44" i="9"/>
  <c r="T43" i="9"/>
  <c r="S43" i="9"/>
  <c r="R43" i="9"/>
  <c r="P43" i="9"/>
  <c r="U42" i="9"/>
  <c r="T42" i="9"/>
  <c r="R42" i="9"/>
  <c r="Q42" i="9"/>
  <c r="P42" i="9"/>
  <c r="T41" i="9"/>
  <c r="S41" i="9"/>
  <c r="R41" i="9"/>
  <c r="P41" i="9"/>
  <c r="U34" i="9"/>
  <c r="T34" i="9"/>
  <c r="S34" i="9"/>
  <c r="R34" i="9"/>
  <c r="Q34" i="9"/>
  <c r="P34" i="9"/>
  <c r="U33" i="9"/>
  <c r="T33" i="9"/>
  <c r="S33" i="9"/>
  <c r="R33" i="9"/>
  <c r="Q33" i="9"/>
  <c r="P33" i="9"/>
  <c r="U32" i="9"/>
  <c r="T32" i="9"/>
  <c r="S32" i="9"/>
  <c r="R32" i="9"/>
  <c r="Q32" i="9"/>
  <c r="P32" i="9"/>
  <c r="U31" i="9"/>
  <c r="T31" i="9"/>
  <c r="S31" i="9"/>
  <c r="R31" i="9"/>
  <c r="Q31" i="9"/>
  <c r="P31" i="9"/>
  <c r="U30" i="9"/>
  <c r="T30" i="9"/>
  <c r="S30" i="9"/>
  <c r="R30" i="9"/>
  <c r="Q30" i="9"/>
  <c r="P30" i="9"/>
  <c r="U29" i="9"/>
  <c r="T29" i="9"/>
  <c r="S29" i="9"/>
  <c r="R29" i="9"/>
  <c r="Q29" i="9"/>
  <c r="P29" i="9"/>
  <c r="O28" i="9"/>
  <c r="N28" i="9"/>
  <c r="M28" i="9"/>
  <c r="L28" i="9"/>
  <c r="K28" i="9"/>
  <c r="J28" i="9"/>
  <c r="O27" i="9"/>
  <c r="N27" i="9"/>
  <c r="M27" i="9"/>
  <c r="L27" i="9"/>
  <c r="K27" i="9"/>
  <c r="J27" i="9"/>
  <c r="O26" i="9"/>
  <c r="N26" i="9"/>
  <c r="M26" i="9"/>
  <c r="L26" i="9"/>
  <c r="K26" i="9"/>
  <c r="J26" i="9"/>
  <c r="O25" i="9"/>
  <c r="N25" i="9"/>
  <c r="M25" i="9"/>
  <c r="L25" i="9"/>
  <c r="K25" i="9"/>
  <c r="J25" i="9"/>
  <c r="O24" i="9"/>
  <c r="N24" i="9"/>
  <c r="M24" i="9"/>
  <c r="L24" i="9"/>
  <c r="K24" i="9"/>
  <c r="J24" i="9"/>
  <c r="O23" i="9"/>
  <c r="N23" i="9"/>
  <c r="M23" i="9"/>
  <c r="L23" i="9"/>
  <c r="K23" i="9"/>
  <c r="J23" i="9"/>
  <c r="O40" i="9"/>
  <c r="N40" i="9"/>
  <c r="M40" i="9"/>
  <c r="L40" i="9"/>
  <c r="K40" i="9"/>
  <c r="J40" i="9"/>
  <c r="O39" i="9"/>
  <c r="N39" i="9"/>
  <c r="M39" i="9"/>
  <c r="L39" i="9"/>
  <c r="K39" i="9"/>
  <c r="J39" i="9"/>
  <c r="O38" i="9"/>
  <c r="N38" i="9"/>
  <c r="M38" i="9"/>
  <c r="L38" i="9"/>
  <c r="K38" i="9"/>
  <c r="J38" i="9"/>
  <c r="O37" i="9"/>
  <c r="N37" i="9"/>
  <c r="M37" i="9"/>
  <c r="L37" i="9"/>
  <c r="K37" i="9"/>
  <c r="J37" i="9"/>
  <c r="O36" i="9"/>
  <c r="N36" i="9"/>
  <c r="M36" i="9"/>
  <c r="L36" i="9"/>
  <c r="K36" i="9"/>
  <c r="J36" i="9"/>
  <c r="O35" i="9"/>
  <c r="N35" i="9"/>
  <c r="M35" i="9"/>
  <c r="L35" i="9"/>
  <c r="K35" i="9"/>
  <c r="J35" i="9"/>
  <c r="I46" i="9"/>
  <c r="H46" i="9"/>
  <c r="G46" i="9"/>
  <c r="F46" i="9"/>
  <c r="E46" i="9"/>
  <c r="D46" i="9"/>
  <c r="I45" i="9"/>
  <c r="H45" i="9"/>
  <c r="G45" i="9"/>
  <c r="F45" i="9"/>
  <c r="E45" i="9"/>
  <c r="D45" i="9"/>
  <c r="I44" i="9"/>
  <c r="H44" i="9"/>
  <c r="G44" i="9"/>
  <c r="F44" i="9"/>
  <c r="E44" i="9"/>
  <c r="D44" i="9"/>
  <c r="I43" i="9"/>
  <c r="H43" i="9"/>
  <c r="G43" i="9"/>
  <c r="F43" i="9"/>
  <c r="E43" i="9"/>
  <c r="D43" i="9"/>
  <c r="I42" i="9"/>
  <c r="H42" i="9"/>
  <c r="G42" i="9"/>
  <c r="F42" i="9"/>
  <c r="E42" i="9"/>
  <c r="D42" i="9"/>
  <c r="I41" i="9"/>
  <c r="H41" i="9"/>
  <c r="G41" i="9"/>
  <c r="F41" i="9"/>
  <c r="E41" i="9"/>
  <c r="D41" i="9"/>
  <c r="I40" i="9"/>
  <c r="H40" i="9"/>
  <c r="G40" i="9"/>
  <c r="F40" i="9"/>
  <c r="E40" i="9"/>
  <c r="D40" i="9"/>
  <c r="I39" i="9"/>
  <c r="H39" i="9"/>
  <c r="G39" i="9"/>
  <c r="F39" i="9"/>
  <c r="E39" i="9"/>
  <c r="D39" i="9"/>
  <c r="I38" i="9"/>
  <c r="H38" i="9"/>
  <c r="G38" i="9"/>
  <c r="F38" i="9"/>
  <c r="E38" i="9"/>
  <c r="D38" i="9"/>
  <c r="I37" i="9"/>
  <c r="H37" i="9"/>
  <c r="G37" i="9"/>
  <c r="F37" i="9"/>
  <c r="E37" i="9"/>
  <c r="D37" i="9"/>
  <c r="I36" i="9"/>
  <c r="H36" i="9"/>
  <c r="G36" i="9"/>
  <c r="F36" i="9"/>
  <c r="E36" i="9"/>
  <c r="D36" i="9"/>
  <c r="I35" i="9"/>
  <c r="H35" i="9"/>
  <c r="G35" i="9"/>
  <c r="F35" i="9"/>
  <c r="E35" i="9"/>
  <c r="D35" i="9"/>
  <c r="I34" i="9"/>
  <c r="H34" i="9"/>
  <c r="G34" i="9"/>
  <c r="F34" i="9"/>
  <c r="E34" i="9"/>
  <c r="D34" i="9"/>
  <c r="I33" i="9"/>
  <c r="H33" i="9"/>
  <c r="G33" i="9"/>
  <c r="F33" i="9"/>
  <c r="E33" i="9"/>
  <c r="D33" i="9"/>
  <c r="I32" i="9"/>
  <c r="H32" i="9"/>
  <c r="G32" i="9"/>
  <c r="F32" i="9"/>
  <c r="E32" i="9"/>
  <c r="D32" i="9"/>
  <c r="I31" i="9"/>
  <c r="H31" i="9"/>
  <c r="G31" i="9"/>
  <c r="F31" i="9"/>
  <c r="E31" i="9"/>
  <c r="D31" i="9"/>
  <c r="I30" i="9"/>
  <c r="H30" i="9"/>
  <c r="G30" i="9"/>
  <c r="F30" i="9"/>
  <c r="E30" i="9"/>
  <c r="D30" i="9"/>
  <c r="I29" i="9"/>
  <c r="H29" i="9"/>
  <c r="G29" i="9"/>
  <c r="F29" i="9"/>
  <c r="E29" i="9"/>
  <c r="D29" i="9"/>
  <c r="D50" i="9" a="1"/>
  <c r="F50" i="9" s="1"/>
  <c r="D49" i="9" a="1"/>
  <c r="F49" i="9" s="1"/>
  <c r="AA48" i="9"/>
  <c r="Z48" i="9"/>
  <c r="Y48" i="9"/>
  <c r="X48" i="9"/>
  <c r="W48" i="9"/>
  <c r="A12" i="9"/>
  <c r="U48" i="9"/>
  <c r="T48" i="9"/>
  <c r="S48" i="9"/>
  <c r="R48" i="9"/>
  <c r="Q48" i="9"/>
  <c r="I28" i="9"/>
  <c r="O34" i="9" s="1"/>
  <c r="C12" i="1" a="1"/>
  <c r="G12" i="1" s="1"/>
  <c r="C13" i="1" a="1"/>
  <c r="E13" i="1" s="1"/>
  <c r="E14" i="1" s="1"/>
  <c r="AB14" i="1" s="1"/>
  <c r="G13" i="1"/>
  <c r="F12" i="1"/>
  <c r="E12" i="1"/>
  <c r="C13" i="1"/>
  <c r="H12" i="1"/>
  <c r="H27" i="9"/>
  <c r="N33" i="9" s="1"/>
  <c r="G26" i="9"/>
  <c r="M32" i="9" s="1"/>
  <c r="G16" i="1"/>
  <c r="AD16" i="1" s="1"/>
  <c r="H25" i="9"/>
  <c r="N31" i="9" s="1"/>
  <c r="F25" i="9"/>
  <c r="L31" i="9" s="1"/>
  <c r="G15" i="1"/>
  <c r="AD15" i="1" s="1"/>
  <c r="H24" i="9"/>
  <c r="N30" i="9" s="1"/>
  <c r="E15" i="1"/>
  <c r="AB15" i="1" s="1"/>
  <c r="F22" i="7" s="1"/>
  <c r="E24" i="9"/>
  <c r="K30" i="9" s="1"/>
  <c r="G14" i="1"/>
  <c r="AD14" i="1" s="1"/>
  <c r="H23" i="9"/>
  <c r="N29" i="9" s="1"/>
  <c r="D23" i="9"/>
  <c r="J29" i="9" s="1"/>
  <c r="D22" i="9" a="1"/>
  <c r="D21" i="9" a="1"/>
  <c r="D21" i="9" s="1"/>
  <c r="B64" i="7"/>
  <c r="M22" i="7" s="1"/>
  <c r="D42" i="7" a="1"/>
  <c r="I42" i="7" s="1"/>
  <c r="D41" i="7" a="1"/>
  <c r="F41" i="7" s="1"/>
  <c r="U40" i="7"/>
  <c r="T40" i="7"/>
  <c r="S40" i="7"/>
  <c r="R40" i="7"/>
  <c r="Q40" i="7"/>
  <c r="O32" i="7"/>
  <c r="Q12" i="1"/>
  <c r="Q13" i="1"/>
  <c r="Q29" i="1"/>
  <c r="AN29" i="1"/>
  <c r="N32" i="7" s="1"/>
  <c r="P13" i="1"/>
  <c r="O12" i="1"/>
  <c r="O13" i="1"/>
  <c r="O27" i="1" s="1"/>
  <c r="O29" i="1"/>
  <c r="AL29" i="1" s="1"/>
  <c r="N12" i="1"/>
  <c r="N13" i="1"/>
  <c r="N24" i="1" s="1"/>
  <c r="M12" i="1"/>
  <c r="M13" i="1"/>
  <c r="M29" i="1"/>
  <c r="AJ29" i="1" s="1"/>
  <c r="R13" i="1"/>
  <c r="N31" i="7"/>
  <c r="O28" i="1"/>
  <c r="AL28" i="1" s="1"/>
  <c r="M28" i="1"/>
  <c r="AJ28" i="1" s="1"/>
  <c r="J31" i="7"/>
  <c r="Q27" i="1"/>
  <c r="AN27" i="1"/>
  <c r="N30" i="7"/>
  <c r="M30" i="7"/>
  <c r="AL27" i="1"/>
  <c r="M27" i="1"/>
  <c r="AJ27" i="1" s="1"/>
  <c r="J30" i="7"/>
  <c r="Q26" i="1"/>
  <c r="AN26" i="1" s="1"/>
  <c r="N29" i="7" s="1"/>
  <c r="L29" i="7"/>
  <c r="M26" i="1"/>
  <c r="AJ26" i="1" s="1"/>
  <c r="Q25" i="1"/>
  <c r="AN25" i="1"/>
  <c r="O25" i="1"/>
  <c r="AL25" i="1" s="1"/>
  <c r="L28" i="7"/>
  <c r="K28" i="7"/>
  <c r="M25" i="1"/>
  <c r="AJ25" i="1" s="1"/>
  <c r="Q24" i="1"/>
  <c r="AN24" i="1"/>
  <c r="O24" i="1"/>
  <c r="AL24" i="1" s="1"/>
  <c r="L27" i="7"/>
  <c r="AK24" i="1"/>
  <c r="K27" i="7" s="1"/>
  <c r="J27" i="7"/>
  <c r="I26" i="7"/>
  <c r="H25" i="7"/>
  <c r="G24" i="7"/>
  <c r="H23" i="7"/>
  <c r="F23" i="7"/>
  <c r="H22" i="7"/>
  <c r="E22" i="7"/>
  <c r="H21" i="7"/>
  <c r="D21" i="7"/>
  <c r="D20" i="7" a="1"/>
  <c r="I20" i="7" s="1"/>
  <c r="D19" i="7" a="1"/>
  <c r="F19" i="7" s="1"/>
  <c r="A11" i="7"/>
  <c r="N33" i="7"/>
  <c r="R21" i="7"/>
  <c r="Q29" i="7"/>
  <c r="S23" i="7"/>
  <c r="T27" i="7"/>
  <c r="R22" i="7"/>
  <c r="D31" i="7"/>
  <c r="R32" i="7"/>
  <c r="D38" i="7"/>
  <c r="S31" i="7"/>
  <c r="O36" i="7"/>
  <c r="F35" i="7"/>
  <c r="J22" i="7"/>
  <c r="N34" i="7"/>
  <c r="N26" i="7"/>
  <c r="K37" i="7"/>
  <c r="G36" i="7"/>
  <c r="F31" i="7"/>
  <c r="N23" i="7"/>
  <c r="H37" i="7"/>
  <c r="E31" i="7"/>
  <c r="E34" i="7"/>
  <c r="F12" i="7"/>
  <c r="F14" i="7" s="1"/>
  <c r="F40" i="7" s="1"/>
  <c r="I12" i="7"/>
  <c r="I15" i="7" s="1"/>
  <c r="O40" i="7" s="1"/>
  <c r="A11" i="6"/>
  <c r="B64" i="6"/>
  <c r="D42" i="6" a="1"/>
  <c r="D42" i="6" s="1"/>
  <c r="D41" i="6" a="1"/>
  <c r="I41" i="6" s="1"/>
  <c r="U40" i="6"/>
  <c r="T40" i="6"/>
  <c r="S40" i="6"/>
  <c r="R40" i="6"/>
  <c r="Q40" i="6"/>
  <c r="O32" i="6"/>
  <c r="N31" i="6"/>
  <c r="J31" i="6"/>
  <c r="N30" i="6"/>
  <c r="M30" i="6"/>
  <c r="L30" i="6"/>
  <c r="J30" i="6"/>
  <c r="N29" i="6"/>
  <c r="L29" i="6"/>
  <c r="J29" i="6"/>
  <c r="L28" i="6"/>
  <c r="K28" i="6"/>
  <c r="N27" i="6"/>
  <c r="L27" i="6"/>
  <c r="K27" i="6"/>
  <c r="J27" i="6"/>
  <c r="I26" i="6"/>
  <c r="H25" i="6"/>
  <c r="G24" i="6"/>
  <c r="H23" i="6"/>
  <c r="F23" i="6"/>
  <c r="H22" i="6"/>
  <c r="F22" i="6"/>
  <c r="E22" i="6"/>
  <c r="H21" i="6"/>
  <c r="D21" i="6"/>
  <c r="D20" i="6" a="1"/>
  <c r="D19" i="6" a="1"/>
  <c r="G19" i="6" s="1"/>
  <c r="A11" i="5"/>
  <c r="I12" i="5" s="1"/>
  <c r="B64" i="5"/>
  <c r="I38" i="5" s="1"/>
  <c r="D42" i="5" a="1"/>
  <c r="I42" i="5" s="1"/>
  <c r="D41" i="5" a="1"/>
  <c r="D41" i="5" s="1"/>
  <c r="D28" i="5"/>
  <c r="K26" i="5"/>
  <c r="I26" i="5"/>
  <c r="H25" i="5"/>
  <c r="K24" i="5"/>
  <c r="G24" i="5"/>
  <c r="H23" i="5"/>
  <c r="F23" i="5"/>
  <c r="H22" i="5"/>
  <c r="F22" i="5"/>
  <c r="E22" i="5"/>
  <c r="M21" i="5"/>
  <c r="H21" i="5"/>
  <c r="D21" i="5"/>
  <c r="D20" i="5" a="1"/>
  <c r="D20" i="5" s="1"/>
  <c r="D19" i="5" a="1"/>
  <c r="I19" i="5" s="1"/>
  <c r="B51" i="4"/>
  <c r="O25" i="4" s="1"/>
  <c r="L25" i="4"/>
  <c r="J25" i="4"/>
  <c r="N23" i="4"/>
  <c r="O22" i="4"/>
  <c r="N22" i="4"/>
  <c r="N21" i="4"/>
  <c r="M21" i="4"/>
  <c r="N20" i="4"/>
  <c r="K20" i="4"/>
  <c r="F31" i="4"/>
  <c r="D31" i="4"/>
  <c r="E30" i="4"/>
  <c r="D30" i="4"/>
  <c r="D29" i="4"/>
  <c r="H28" i="4"/>
  <c r="H27" i="4"/>
  <c r="G27" i="4"/>
  <c r="H26" i="4"/>
  <c r="F26" i="4"/>
  <c r="D35" i="4" a="1"/>
  <c r="E35" i="4" s="1"/>
  <c r="D34" i="4" a="1"/>
  <c r="D34" i="4" s="1"/>
  <c r="A10" i="4"/>
  <c r="D11" i="4" s="1"/>
  <c r="D13" i="4" s="1"/>
  <c r="D33" i="4" s="1"/>
  <c r="O31" i="4"/>
  <c r="N31" i="4"/>
  <c r="J31" i="4"/>
  <c r="N30" i="4"/>
  <c r="L30" i="4"/>
  <c r="J30" i="4"/>
  <c r="N29" i="4"/>
  <c r="M29" i="4"/>
  <c r="J29" i="4"/>
  <c r="L28" i="4"/>
  <c r="N27" i="4"/>
  <c r="L27" i="4"/>
  <c r="K27" i="4"/>
  <c r="J27" i="4"/>
  <c r="L26" i="4"/>
  <c r="K26" i="4"/>
  <c r="J26" i="4"/>
  <c r="I25" i="4"/>
  <c r="H24" i="4"/>
  <c r="G23" i="4"/>
  <c r="H22" i="4"/>
  <c r="F22" i="4"/>
  <c r="H21" i="4"/>
  <c r="E21" i="4"/>
  <c r="H20" i="4"/>
  <c r="D20" i="4"/>
  <c r="D19" i="4" a="1"/>
  <c r="D19" i="4" s="1"/>
  <c r="D18" i="4" a="1"/>
  <c r="F18" i="4" s="1"/>
  <c r="B51" i="3"/>
  <c r="B28" i="2"/>
  <c r="A10" i="3"/>
  <c r="I11" i="3" s="1"/>
  <c r="D11" i="3"/>
  <c r="D13" i="3" s="1"/>
  <c r="D33" i="3" s="1"/>
  <c r="D35" i="3" a="1"/>
  <c r="D35" i="3" s="1"/>
  <c r="G35" i="3"/>
  <c r="I35" i="3"/>
  <c r="D34" i="3" a="1"/>
  <c r="D34" i="3" s="1"/>
  <c r="G34" i="3"/>
  <c r="H34" i="3"/>
  <c r="O31" i="3"/>
  <c r="N31" i="3"/>
  <c r="J31" i="3"/>
  <c r="N30" i="3"/>
  <c r="L30" i="3"/>
  <c r="J30" i="3"/>
  <c r="N29" i="3"/>
  <c r="M29" i="3"/>
  <c r="J29" i="3"/>
  <c r="L28" i="3"/>
  <c r="N27" i="3"/>
  <c r="L27" i="3"/>
  <c r="K27" i="3"/>
  <c r="L26" i="3"/>
  <c r="K26" i="3"/>
  <c r="J26" i="3"/>
  <c r="Q19" i="1"/>
  <c r="AN19" i="1"/>
  <c r="N25" i="3"/>
  <c r="O19" i="1"/>
  <c r="AL19" i="1"/>
  <c r="L25" i="3" s="1"/>
  <c r="N19" i="1"/>
  <c r="AK19" i="1" s="1"/>
  <c r="K25" i="3" s="1"/>
  <c r="M19" i="1"/>
  <c r="AJ19" i="1" s="1"/>
  <c r="J25" i="3" s="1"/>
  <c r="Q18" i="1"/>
  <c r="AN18" i="1"/>
  <c r="N24" i="3"/>
  <c r="O18" i="1"/>
  <c r="AL18" i="1" s="1"/>
  <c r="L24" i="3" s="1"/>
  <c r="N18" i="1"/>
  <c r="AK18" i="1"/>
  <c r="K24" i="3" s="1"/>
  <c r="M18" i="1"/>
  <c r="AJ18" i="1"/>
  <c r="J24" i="3" s="1"/>
  <c r="Q17" i="1"/>
  <c r="AN17" i="1" s="1"/>
  <c r="N23" i="3" s="1"/>
  <c r="O17" i="1"/>
  <c r="AL17" i="1"/>
  <c r="L23" i="3" s="1"/>
  <c r="N17" i="1"/>
  <c r="AK17" i="1" s="1"/>
  <c r="K23" i="3"/>
  <c r="M17" i="1"/>
  <c r="AJ17" i="1" s="1"/>
  <c r="J23" i="3" s="1"/>
  <c r="Q16" i="1"/>
  <c r="AN16" i="1" s="1"/>
  <c r="N22" i="3" s="1"/>
  <c r="O16" i="1"/>
  <c r="AL16" i="1" s="1"/>
  <c r="L22" i="3"/>
  <c r="N16" i="1"/>
  <c r="AK16" i="1" s="1"/>
  <c r="K22" i="3" s="1"/>
  <c r="M16" i="1"/>
  <c r="AJ16" i="1" s="1"/>
  <c r="J22" i="3" s="1"/>
  <c r="Q15" i="1"/>
  <c r="AN15" i="1" s="1"/>
  <c r="N21" i="3"/>
  <c r="O15" i="1"/>
  <c r="AL15" i="1" s="1"/>
  <c r="L21" i="3" s="1"/>
  <c r="N15" i="1"/>
  <c r="AK15" i="1"/>
  <c r="K21" i="3" s="1"/>
  <c r="M15" i="1"/>
  <c r="AJ15" i="1" s="1"/>
  <c r="J21" i="3" s="1"/>
  <c r="Q14" i="1"/>
  <c r="AN14" i="1" s="1"/>
  <c r="N20" i="3" s="1"/>
  <c r="O14" i="1"/>
  <c r="AL14" i="1" s="1"/>
  <c r="L20" i="3" s="1"/>
  <c r="N14" i="1"/>
  <c r="AK14" i="1" s="1"/>
  <c r="K20" i="3" s="1"/>
  <c r="M14" i="1"/>
  <c r="AJ14" i="1" s="1"/>
  <c r="J20" i="3" s="1"/>
  <c r="G29" i="1"/>
  <c r="AD29" i="1" s="1"/>
  <c r="H31" i="3" s="1"/>
  <c r="E29" i="1"/>
  <c r="AB29" i="1" s="1"/>
  <c r="F31" i="3" s="1"/>
  <c r="G28" i="1"/>
  <c r="AD28" i="1" s="1"/>
  <c r="H30" i="3" s="1"/>
  <c r="E28" i="1"/>
  <c r="AB28" i="1" s="1"/>
  <c r="F30" i="3" s="1"/>
  <c r="G27" i="1"/>
  <c r="AD27" i="1" s="1"/>
  <c r="H29" i="3" s="1"/>
  <c r="E27" i="1"/>
  <c r="AB27" i="1" s="1"/>
  <c r="F29" i="3" s="1"/>
  <c r="G26" i="1"/>
  <c r="AD26" i="1" s="1"/>
  <c r="H28" i="3" s="1"/>
  <c r="E26" i="1"/>
  <c r="AB26" i="1" s="1"/>
  <c r="F28" i="3"/>
  <c r="G25" i="1"/>
  <c r="AD25" i="1" s="1"/>
  <c r="H27" i="3"/>
  <c r="E25" i="1"/>
  <c r="AB25" i="1" s="1"/>
  <c r="F27" i="3" s="1"/>
  <c r="G24" i="1"/>
  <c r="AD24" i="1" s="1"/>
  <c r="H26" i="3" s="1"/>
  <c r="E24" i="1"/>
  <c r="AB24" i="1" s="1"/>
  <c r="F26" i="3" s="1"/>
  <c r="L13" i="1"/>
  <c r="I25" i="3"/>
  <c r="H24" i="3"/>
  <c r="G23" i="3"/>
  <c r="H22" i="3"/>
  <c r="F22" i="3"/>
  <c r="H21" i="3"/>
  <c r="F21" i="3"/>
  <c r="E21" i="3"/>
  <c r="H20" i="3"/>
  <c r="D20" i="3"/>
  <c r="D19" i="3" a="1"/>
  <c r="G19" i="3"/>
  <c r="D18" i="3" a="1"/>
  <c r="D18" i="3" s="1"/>
  <c r="F18" i="3"/>
  <c r="Z12" i="1" a="1"/>
  <c r="AA12" i="1" s="1"/>
  <c r="I22" i="2"/>
  <c r="H21" i="2"/>
  <c r="G20" i="2"/>
  <c r="H19" i="2"/>
  <c r="F19" i="2"/>
  <c r="H18" i="2"/>
  <c r="F18" i="2"/>
  <c r="E18" i="2"/>
  <c r="H17" i="2"/>
  <c r="D17" i="2"/>
  <c r="D16" i="2" a="1"/>
  <c r="I16" i="2" s="1"/>
  <c r="H16" i="2"/>
  <c r="D15" i="2" a="1"/>
  <c r="G15" i="2" s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AS49" i="1"/>
  <c r="AR49" i="1"/>
  <c r="AQ49" i="1"/>
  <c r="AP49" i="1"/>
  <c r="AO49" i="1"/>
  <c r="AN49" i="1"/>
  <c r="AM49" i="1"/>
  <c r="AL49" i="1"/>
  <c r="AK49" i="1"/>
  <c r="AI49" i="1"/>
  <c r="AH49" i="1"/>
  <c r="AG49" i="1"/>
  <c r="AF49" i="1"/>
  <c r="AE49" i="1"/>
  <c r="AD49" i="1"/>
  <c r="AC49" i="1"/>
  <c r="AB49" i="1"/>
  <c r="AA49" i="1"/>
  <c r="Z49" i="1"/>
  <c r="AS48" i="1"/>
  <c r="AR48" i="1"/>
  <c r="AQ48" i="1"/>
  <c r="AP48" i="1"/>
  <c r="AO48" i="1"/>
  <c r="AN48" i="1"/>
  <c r="AM48" i="1"/>
  <c r="AL48" i="1"/>
  <c r="AK48" i="1"/>
  <c r="AJ48" i="1"/>
  <c r="C38" i="1" a="1"/>
  <c r="F38" i="1" s="1"/>
  <c r="K38" i="1"/>
  <c r="K46" i="1" s="1"/>
  <c r="AH46" i="1" s="1"/>
  <c r="AS47" i="1"/>
  <c r="AR47" i="1"/>
  <c r="AQ47" i="1"/>
  <c r="AP47" i="1"/>
  <c r="AO47" i="1"/>
  <c r="AN47" i="1"/>
  <c r="AM47" i="1"/>
  <c r="AL47" i="1"/>
  <c r="AK47" i="1"/>
  <c r="AJ47" i="1"/>
  <c r="AS46" i="1"/>
  <c r="AR46" i="1"/>
  <c r="AQ46" i="1"/>
  <c r="AP46" i="1"/>
  <c r="AO46" i="1"/>
  <c r="AN46" i="1"/>
  <c r="AM46" i="1"/>
  <c r="AL46" i="1"/>
  <c r="AK46" i="1"/>
  <c r="AJ46" i="1"/>
  <c r="AS45" i="1"/>
  <c r="AR45" i="1"/>
  <c r="AQ45" i="1"/>
  <c r="AP45" i="1"/>
  <c r="AO45" i="1"/>
  <c r="AN45" i="1"/>
  <c r="AM45" i="1"/>
  <c r="AL45" i="1"/>
  <c r="AK45" i="1"/>
  <c r="AJ45" i="1"/>
  <c r="AS44" i="1"/>
  <c r="AR44" i="1"/>
  <c r="AQ44" i="1"/>
  <c r="AP44" i="1"/>
  <c r="AO44" i="1"/>
  <c r="AN44" i="1"/>
  <c r="AM44" i="1"/>
  <c r="AL44" i="1"/>
  <c r="AK44" i="1"/>
  <c r="AJ44" i="1"/>
  <c r="AS43" i="1"/>
  <c r="AR43" i="1"/>
  <c r="AQ43" i="1"/>
  <c r="AP43" i="1"/>
  <c r="AO43" i="1"/>
  <c r="AN43" i="1"/>
  <c r="AM43" i="1"/>
  <c r="AL43" i="1"/>
  <c r="AK43" i="1"/>
  <c r="AJ43" i="1"/>
  <c r="AS42" i="1"/>
  <c r="AR42" i="1"/>
  <c r="AQ42" i="1"/>
  <c r="AP42" i="1"/>
  <c r="AO42" i="1"/>
  <c r="AN42" i="1"/>
  <c r="AM42" i="1"/>
  <c r="AL42" i="1"/>
  <c r="AK42" i="1"/>
  <c r="AJ42" i="1"/>
  <c r="AS41" i="1"/>
  <c r="AR41" i="1"/>
  <c r="AQ41" i="1"/>
  <c r="AP41" i="1"/>
  <c r="AO41" i="1"/>
  <c r="AN41" i="1"/>
  <c r="AM41" i="1"/>
  <c r="AL41" i="1"/>
  <c r="AK41" i="1"/>
  <c r="AJ41" i="1"/>
  <c r="AS40" i="1"/>
  <c r="AR40" i="1"/>
  <c r="AQ40" i="1"/>
  <c r="AP40" i="1"/>
  <c r="AO40" i="1"/>
  <c r="AN40" i="1"/>
  <c r="AM40" i="1"/>
  <c r="AL40" i="1"/>
  <c r="AK40" i="1"/>
  <c r="AJ40" i="1"/>
  <c r="AS39" i="1"/>
  <c r="AR39" i="1"/>
  <c r="AQ39" i="1"/>
  <c r="AP39" i="1"/>
  <c r="AO39" i="1"/>
  <c r="AN39" i="1"/>
  <c r="AM39" i="1"/>
  <c r="AL39" i="1"/>
  <c r="AK39" i="1"/>
  <c r="AJ39" i="1"/>
  <c r="Z38" i="1" a="1"/>
  <c r="Z37" i="1" a="1"/>
  <c r="AA37" i="1" s="1"/>
  <c r="AC37" i="1"/>
  <c r="C37" i="1" a="1"/>
  <c r="E37" i="1" s="1"/>
  <c r="H37" i="1"/>
  <c r="Z13" i="1" a="1"/>
  <c r="AA13" i="1"/>
  <c r="H20" i="5"/>
  <c r="D38" i="5"/>
  <c r="F37" i="5"/>
  <c r="H36" i="5"/>
  <c r="F35" i="5"/>
  <c r="H34" i="5"/>
  <c r="D34" i="5"/>
  <c r="T26" i="5"/>
  <c r="P26" i="5"/>
  <c r="R25" i="5"/>
  <c r="T24" i="5"/>
  <c r="P24" i="5"/>
  <c r="R23" i="5"/>
  <c r="T22" i="5"/>
  <c r="P22" i="5"/>
  <c r="R21" i="5"/>
  <c r="F32" i="5"/>
  <c r="H31" i="5"/>
  <c r="D31" i="5"/>
  <c r="F30" i="5"/>
  <c r="H29" i="5"/>
  <c r="D29" i="5"/>
  <c r="F28" i="5"/>
  <c r="H27" i="5"/>
  <c r="D27" i="5"/>
  <c r="L26" i="5"/>
  <c r="L25" i="5"/>
  <c r="L24" i="5"/>
  <c r="L23" i="5"/>
  <c r="L22" i="5"/>
  <c r="L21" i="5"/>
  <c r="G38" i="5"/>
  <c r="H37" i="5"/>
  <c r="I36" i="5"/>
  <c r="I35" i="5"/>
  <c r="D35" i="5"/>
  <c r="E34" i="5"/>
  <c r="E33" i="5"/>
  <c r="R26" i="5"/>
  <c r="S25" i="5"/>
  <c r="S24" i="5"/>
  <c r="T23" i="5"/>
  <c r="U22" i="5"/>
  <c r="U21" i="5"/>
  <c r="P21" i="5"/>
  <c r="E32" i="5"/>
  <c r="F31" i="5"/>
  <c r="G30" i="5"/>
  <c r="G29" i="5"/>
  <c r="H28" i="5"/>
  <c r="I27" i="5"/>
  <c r="O26" i="5"/>
  <c r="J26" i="5"/>
  <c r="N25" i="5"/>
  <c r="M24" i="5"/>
  <c r="K23" i="5"/>
  <c r="O22" i="5"/>
  <c r="J22" i="5"/>
  <c r="N21" i="5"/>
  <c r="F38" i="5"/>
  <c r="G37" i="5"/>
  <c r="G36" i="5"/>
  <c r="H35" i="5"/>
  <c r="I34" i="5"/>
  <c r="I33" i="5"/>
  <c r="D33" i="5"/>
  <c r="Q26" i="5"/>
  <c r="Q25" i="5"/>
  <c r="R24" i="5"/>
  <c r="S23" i="5"/>
  <c r="S22" i="5"/>
  <c r="T21" i="5"/>
  <c r="H12" i="5"/>
  <c r="H42" i="5"/>
  <c r="E18" i="4"/>
  <c r="G26" i="4"/>
  <c r="E27" i="4"/>
  <c r="I27" i="4"/>
  <c r="G28" i="4"/>
  <c r="E29" i="4"/>
  <c r="I29" i="4"/>
  <c r="G30" i="4"/>
  <c r="E31" i="4"/>
  <c r="I31" i="4"/>
  <c r="M20" i="4"/>
  <c r="K21" i="4"/>
  <c r="O21" i="4"/>
  <c r="M22" i="4"/>
  <c r="K23" i="4"/>
  <c r="O23" i="4"/>
  <c r="M24" i="4"/>
  <c r="K25" i="4"/>
  <c r="H18" i="4"/>
  <c r="G18" i="4"/>
  <c r="D18" i="4"/>
  <c r="D14" i="4"/>
  <c r="J33" i="4" s="1"/>
  <c r="I11" i="4"/>
  <c r="I14" i="4" s="1"/>
  <c r="O33" i="4" s="1"/>
  <c r="E11" i="4"/>
  <c r="E14" i="4" s="1"/>
  <c r="K33" i="4" s="1"/>
  <c r="F11" i="4"/>
  <c r="F14" i="4" s="1"/>
  <c r="L33" i="4" s="1"/>
  <c r="E19" i="4"/>
  <c r="G11" i="4"/>
  <c r="G13" i="4" s="1"/>
  <c r="G33" i="4" s="1"/>
  <c r="H19" i="4"/>
  <c r="H11" i="4"/>
  <c r="F11" i="3"/>
  <c r="F14" i="3" s="1"/>
  <c r="L33" i="3" s="1"/>
  <c r="G11" i="3"/>
  <c r="G13" i="3" s="1"/>
  <c r="G33" i="3" s="1"/>
  <c r="E11" i="3"/>
  <c r="E14" i="3" s="1"/>
  <c r="K33" i="3" s="1"/>
  <c r="H11" i="3"/>
  <c r="H13" i="3" s="1"/>
  <c r="H33" i="3" s="1"/>
  <c r="H15" i="2"/>
  <c r="G16" i="2"/>
  <c r="E16" i="2"/>
  <c r="AL37" i="1"/>
  <c r="I13" i="1"/>
  <c r="Q26" i="6"/>
  <c r="U32" i="6"/>
  <c r="Q32" i="6"/>
  <c r="S31" i="6"/>
  <c r="U30" i="6"/>
  <c r="Q30" i="6"/>
  <c r="S29" i="6"/>
  <c r="U28" i="6"/>
  <c r="Q28" i="6"/>
  <c r="S27" i="6"/>
  <c r="J33" i="6"/>
  <c r="N33" i="6"/>
  <c r="L34" i="6"/>
  <c r="J35" i="6"/>
  <c r="N35" i="6"/>
  <c r="L36" i="6"/>
  <c r="J37" i="6"/>
  <c r="N37" i="6"/>
  <c r="L38" i="6"/>
  <c r="M34" i="6"/>
  <c r="O35" i="6"/>
  <c r="M36" i="6"/>
  <c r="O37" i="6"/>
  <c r="M38" i="6"/>
  <c r="S32" i="6"/>
  <c r="Q31" i="6"/>
  <c r="S30" i="6"/>
  <c r="Q29" i="6"/>
  <c r="S28" i="6"/>
  <c r="Q27" i="6"/>
  <c r="L33" i="6"/>
  <c r="N34" i="6"/>
  <c r="L35" i="6"/>
  <c r="N36" i="6"/>
  <c r="J38" i="6"/>
  <c r="N38" i="6"/>
  <c r="T31" i="6"/>
  <c r="P31" i="6"/>
  <c r="T29" i="6"/>
  <c r="R28" i="6"/>
  <c r="T27" i="6"/>
  <c r="M33" i="6"/>
  <c r="K34" i="6"/>
  <c r="O34" i="6"/>
  <c r="K36" i="6"/>
  <c r="O36" i="6"/>
  <c r="K38" i="6"/>
  <c r="O38" i="6"/>
  <c r="T32" i="6"/>
  <c r="P32" i="6"/>
  <c r="R31" i="6"/>
  <c r="T30" i="6"/>
  <c r="P30" i="6"/>
  <c r="R29" i="6"/>
  <c r="T28" i="6"/>
  <c r="P28" i="6"/>
  <c r="R27" i="6"/>
  <c r="K33" i="6"/>
  <c r="O33" i="6"/>
  <c r="K35" i="6"/>
  <c r="K37" i="6"/>
  <c r="U31" i="6"/>
  <c r="U29" i="6"/>
  <c r="U27" i="6"/>
  <c r="J34" i="6"/>
  <c r="J36" i="6"/>
  <c r="L37" i="6"/>
  <c r="R32" i="6"/>
  <c r="R30" i="6"/>
  <c r="P29" i="6"/>
  <c r="P27" i="6"/>
  <c r="M35" i="6"/>
  <c r="M37" i="6"/>
  <c r="AQ37" i="1"/>
  <c r="AS38" i="1"/>
  <c r="AQ12" i="1"/>
  <c r="F29" i="6"/>
  <c r="I37" i="6"/>
  <c r="G32" i="6"/>
  <c r="G33" i="6"/>
  <c r="P24" i="6"/>
  <c r="L26" i="6"/>
  <c r="D30" i="6"/>
  <c r="F36" i="6"/>
  <c r="D33" i="6"/>
  <c r="T24" i="6"/>
  <c r="J21" i="6"/>
  <c r="L22" i="6"/>
  <c r="J25" i="6"/>
  <c r="F27" i="6"/>
  <c r="H30" i="6"/>
  <c r="G35" i="6"/>
  <c r="P22" i="6"/>
  <c r="R26" i="6"/>
  <c r="L21" i="6"/>
  <c r="M24" i="6"/>
  <c r="H27" i="6"/>
  <c r="D32" i="6"/>
  <c r="E38" i="6"/>
  <c r="E35" i="6"/>
  <c r="P23" i="6"/>
  <c r="T26" i="6"/>
  <c r="M38" i="1"/>
  <c r="AF12" i="1"/>
  <c r="R37" i="1"/>
  <c r="R38" i="1"/>
  <c r="AL12" i="1"/>
  <c r="J23" i="6"/>
  <c r="G28" i="6"/>
  <c r="I31" i="6"/>
  <c r="D37" i="6"/>
  <c r="I33" i="6"/>
  <c r="Q22" i="6"/>
  <c r="R25" i="6"/>
  <c r="J13" i="1"/>
  <c r="AQ13" i="1"/>
  <c r="P37" i="1"/>
  <c r="AI37" i="1"/>
  <c r="K13" i="1"/>
  <c r="AG13" i="1"/>
  <c r="J37" i="1"/>
  <c r="AG37" i="1"/>
  <c r="N21" i="6"/>
  <c r="M22" i="6"/>
  <c r="N23" i="6"/>
  <c r="N24" i="6"/>
  <c r="L25" i="6"/>
  <c r="E27" i="6"/>
  <c r="D29" i="6"/>
  <c r="D31" i="6"/>
  <c r="I38" i="6"/>
  <c r="G36" i="6"/>
  <c r="G34" i="6"/>
  <c r="T21" i="6"/>
  <c r="S23" i="6"/>
  <c r="S25" i="6"/>
  <c r="N25" i="6"/>
  <c r="M26" i="6"/>
  <c r="F28" i="6"/>
  <c r="I29" i="6"/>
  <c r="E31" i="6"/>
  <c r="H42" i="6"/>
  <c r="G37" i="6"/>
  <c r="H35" i="6"/>
  <c r="F34" i="6"/>
  <c r="P21" i="6"/>
  <c r="U22" i="6"/>
  <c r="R24" i="6"/>
  <c r="T25" i="6"/>
  <c r="AO13" i="1"/>
  <c r="AE13" i="1"/>
  <c r="V37" i="1"/>
  <c r="N37" i="1"/>
  <c r="F37" i="1"/>
  <c r="N38" i="1"/>
  <c r="S38" i="1"/>
  <c r="AO37" i="1"/>
  <c r="AD37" i="1"/>
  <c r="AR38" i="1"/>
  <c r="AB38" i="1"/>
  <c r="H38" i="1"/>
  <c r="AB12" i="1"/>
  <c r="AH12" i="1"/>
  <c r="AM12" i="1"/>
  <c r="AR12" i="1"/>
  <c r="AL13" i="1"/>
  <c r="AD13" i="1"/>
  <c r="T37" i="1"/>
  <c r="L37" i="1"/>
  <c r="D37" i="1"/>
  <c r="O38" i="1"/>
  <c r="U38" i="1"/>
  <c r="AE38" i="1"/>
  <c r="I38" i="1"/>
  <c r="AD12" i="1"/>
  <c r="AI12" i="1"/>
  <c r="AN12" i="1"/>
  <c r="Z12" i="1"/>
  <c r="AK13" i="1"/>
  <c r="Z13" i="1"/>
  <c r="Q38" i="1"/>
  <c r="V38" i="1"/>
  <c r="AL38" i="1"/>
  <c r="D38" i="1"/>
  <c r="L38" i="1"/>
  <c r="AE12" i="1"/>
  <c r="AJ12" i="1"/>
  <c r="AP12" i="1"/>
  <c r="S37" i="1"/>
  <c r="O37" i="1"/>
  <c r="K37" i="1"/>
  <c r="G37" i="1"/>
  <c r="C37" i="1"/>
  <c r="AP37" i="1"/>
  <c r="AK37" i="1"/>
  <c r="AE37" i="1"/>
  <c r="Z37" i="1"/>
  <c r="AP13" i="1"/>
  <c r="AI13" i="1"/>
  <c r="U37" i="1"/>
  <c r="Q37" i="1"/>
  <c r="M37" i="1"/>
  <c r="I37" i="1"/>
  <c r="AS37" i="1"/>
  <c r="AM37" i="1"/>
  <c r="AH37" i="1"/>
  <c r="E38" i="1"/>
  <c r="J38" i="1"/>
  <c r="AC12" i="1"/>
  <c r="AG12" i="1"/>
  <c r="AK12" i="1"/>
  <c r="AO12" i="1"/>
  <c r="AS12" i="1"/>
  <c r="K12" i="1"/>
  <c r="AB13" i="1"/>
  <c r="AF13" i="1"/>
  <c r="AJ13" i="1"/>
  <c r="AN13" i="1"/>
  <c r="AR13" i="1"/>
  <c r="V12" i="1"/>
  <c r="J12" i="1"/>
  <c r="AS13" i="1"/>
  <c r="AM13" i="1"/>
  <c r="AH13" i="1"/>
  <c r="AC13" i="1"/>
  <c r="AB37" i="1"/>
  <c r="AF37" i="1"/>
  <c r="AJ37" i="1"/>
  <c r="AN37" i="1"/>
  <c r="AR37" i="1"/>
  <c r="L12" i="1"/>
  <c r="T12" i="1"/>
  <c r="I12" i="1"/>
  <c r="S12" i="1"/>
  <c r="U12" i="1"/>
  <c r="P38" i="1"/>
  <c r="T38" i="1"/>
  <c r="C38" i="1"/>
  <c r="G38" i="1"/>
  <c r="S13" i="1"/>
  <c r="T13" i="1"/>
  <c r="U13" i="1"/>
  <c r="V13" i="1"/>
  <c r="G42" i="6"/>
  <c r="F42" i="6"/>
  <c r="N22" i="6"/>
  <c r="L23" i="6"/>
  <c r="L24" i="6"/>
  <c r="N26" i="6"/>
  <c r="D28" i="6"/>
  <c r="E29" i="6"/>
  <c r="F30" i="6"/>
  <c r="H31" i="6"/>
  <c r="H32" i="6"/>
  <c r="F38" i="6"/>
  <c r="E37" i="6"/>
  <c r="E36" i="6"/>
  <c r="I34" i="6"/>
  <c r="H33" i="6"/>
  <c r="R21" i="6"/>
  <c r="T22" i="6"/>
  <c r="T23" i="6"/>
  <c r="U24" i="6"/>
  <c r="S26" i="6"/>
  <c r="U25" i="6"/>
  <c r="Q25" i="6"/>
  <c r="S24" i="6"/>
  <c r="U23" i="6"/>
  <c r="Q23" i="6"/>
  <c r="S22" i="6"/>
  <c r="U21" i="6"/>
  <c r="Q21" i="6"/>
  <c r="F33" i="6"/>
  <c r="D34" i="6"/>
  <c r="H34" i="6"/>
  <c r="F35" i="6"/>
  <c r="D36" i="6"/>
  <c r="H36" i="6"/>
  <c r="F37" i="6"/>
  <c r="D38" i="6"/>
  <c r="H38" i="6"/>
  <c r="I32" i="6"/>
  <c r="E32" i="6"/>
  <c r="G31" i="6"/>
  <c r="I30" i="6"/>
  <c r="E30" i="6"/>
  <c r="G29" i="6"/>
  <c r="I28" i="6"/>
  <c r="E28" i="6"/>
  <c r="G27" i="6"/>
  <c r="O26" i="6"/>
  <c r="K26" i="6"/>
  <c r="O25" i="6"/>
  <c r="K25" i="6"/>
  <c r="O24" i="6"/>
  <c r="K24" i="6"/>
  <c r="O23" i="6"/>
  <c r="K23" i="6"/>
  <c r="O22" i="6"/>
  <c r="K22" i="6"/>
  <c r="O21" i="6"/>
  <c r="K21" i="6"/>
  <c r="U26" i="6"/>
  <c r="P26" i="6"/>
  <c r="P25" i="6"/>
  <c r="Q24" i="6"/>
  <c r="R23" i="6"/>
  <c r="R22" i="6"/>
  <c r="S21" i="6"/>
  <c r="E33" i="6"/>
  <c r="E34" i="6"/>
  <c r="D35" i="6"/>
  <c r="I35" i="6"/>
  <c r="I36" i="6"/>
  <c r="H37" i="6"/>
  <c r="G38" i="6"/>
  <c r="F32" i="6"/>
  <c r="F31" i="6"/>
  <c r="G30" i="6"/>
  <c r="H29" i="6"/>
  <c r="H28" i="6"/>
  <c r="I27" i="6"/>
  <c r="D27" i="6"/>
  <c r="J26" i="6"/>
  <c r="M25" i="6"/>
  <c r="J24" i="6"/>
  <c r="M23" i="6"/>
  <c r="J22" i="6"/>
  <c r="M21" i="6"/>
  <c r="E42" i="6"/>
  <c r="I42" i="6"/>
  <c r="H14" i="4"/>
  <c r="N33" i="4" s="1"/>
  <c r="H13" i="4"/>
  <c r="H33" i="4" s="1"/>
  <c r="I13" i="4"/>
  <c r="I33" i="4" s="1"/>
  <c r="F13" i="4"/>
  <c r="F33" i="4" s="1"/>
  <c r="H14" i="3"/>
  <c r="N33" i="3" s="1"/>
  <c r="K33" i="1"/>
  <c r="AH33" i="1" s="1"/>
  <c r="K14" i="1"/>
  <c r="AH14" i="1" s="1"/>
  <c r="K32" i="1"/>
  <c r="AH32" i="1" s="1"/>
  <c r="K26" i="1"/>
  <c r="AH26" i="1" s="1"/>
  <c r="K18" i="1"/>
  <c r="AH18" i="1" s="1"/>
  <c r="K15" i="1"/>
  <c r="AH15" i="1"/>
  <c r="K27" i="1"/>
  <c r="AH27" i="1"/>
  <c r="K24" i="1"/>
  <c r="AH24" i="1"/>
  <c r="K28" i="1"/>
  <c r="AH28" i="1"/>
  <c r="K31" i="1"/>
  <c r="AH31" i="1"/>
  <c r="K29" i="1"/>
  <c r="AH29" i="1"/>
  <c r="K21" i="1"/>
  <c r="AH21" i="1"/>
  <c r="K19" i="1"/>
  <c r="AH19" i="1"/>
  <c r="K16" i="1"/>
  <c r="AH16" i="1"/>
  <c r="K22" i="1"/>
  <c r="K17" i="1"/>
  <c r="AH17" i="1"/>
  <c r="K20" i="1"/>
  <c r="AH20" i="1"/>
  <c r="K30" i="1"/>
  <c r="AH30" i="1"/>
  <c r="K23" i="1"/>
  <c r="AH23" i="1"/>
  <c r="K25" i="1"/>
  <c r="AH25" i="1"/>
  <c r="N21" i="1"/>
  <c r="AK21" i="1"/>
  <c r="N30" i="1"/>
  <c r="AK30" i="1"/>
  <c r="N33" i="1"/>
  <c r="AK33" i="1"/>
  <c r="N31" i="1"/>
  <c r="AK31" i="1"/>
  <c r="N25" i="1"/>
  <c r="N20" i="1"/>
  <c r="AK20" i="1"/>
  <c r="N23" i="1"/>
  <c r="AK23" i="1" s="1"/>
  <c r="N22" i="1"/>
  <c r="AK22" i="1"/>
  <c r="N32" i="1"/>
  <c r="AK32" i="1" s="1"/>
  <c r="F41" i="1"/>
  <c r="AC41" i="1" s="1"/>
  <c r="M21" i="1"/>
  <c r="AJ21" i="1" s="1"/>
  <c r="M33" i="1"/>
  <c r="AJ33" i="1" s="1"/>
  <c r="S19" i="1"/>
  <c r="AP19" i="1" s="1"/>
  <c r="S23" i="1"/>
  <c r="AP23" i="1" s="1"/>
  <c r="S25" i="1"/>
  <c r="AP25" i="1" s="1"/>
  <c r="S29" i="1"/>
  <c r="AP29" i="1" s="1"/>
  <c r="S30" i="1"/>
  <c r="S18" i="1"/>
  <c r="AP18" i="1"/>
  <c r="S21" i="1"/>
  <c r="AP21" i="1"/>
  <c r="S32" i="1"/>
  <c r="AP32" i="1"/>
  <c r="S14" i="1"/>
  <c r="AP14" i="1"/>
  <c r="S22" i="1"/>
  <c r="AP22" i="1"/>
  <c r="S24" i="1"/>
  <c r="AP24" i="1"/>
  <c r="S27" i="1"/>
  <c r="AP27" i="1"/>
  <c r="S26" i="1"/>
  <c r="AP26" i="1"/>
  <c r="S31" i="1"/>
  <c r="AP31" i="1"/>
  <c r="S17" i="1"/>
  <c r="AP17" i="1"/>
  <c r="S20" i="1"/>
  <c r="AP20" i="1"/>
  <c r="S28" i="1"/>
  <c r="AP28" i="1" s="1"/>
  <c r="S33" i="1"/>
  <c r="AP33" i="1"/>
  <c r="S15" i="1"/>
  <c r="AP15" i="1" s="1"/>
  <c r="S16" i="1"/>
  <c r="AP16" i="1"/>
  <c r="T17" i="1"/>
  <c r="AQ17" i="1" s="1"/>
  <c r="T21" i="1"/>
  <c r="AQ21" i="1"/>
  <c r="T27" i="1"/>
  <c r="AQ27" i="1" s="1"/>
  <c r="T20" i="1"/>
  <c r="AQ20" i="1"/>
  <c r="T23" i="1"/>
  <c r="AQ23" i="1" s="1"/>
  <c r="T26" i="1"/>
  <c r="AQ26" i="1"/>
  <c r="T31" i="1"/>
  <c r="T28" i="1"/>
  <c r="AQ28" i="1"/>
  <c r="T30" i="1"/>
  <c r="AQ30" i="1" s="1"/>
  <c r="T33" i="1"/>
  <c r="AQ33" i="1"/>
  <c r="T14" i="1"/>
  <c r="AQ14" i="1" s="1"/>
  <c r="T15" i="1"/>
  <c r="AQ15" i="1"/>
  <c r="T16" i="1"/>
  <c r="AQ16" i="1" s="1"/>
  <c r="T19" i="1"/>
  <c r="AQ19" i="1"/>
  <c r="T22" i="1"/>
  <c r="AQ22" i="1" s="1"/>
  <c r="T18" i="1"/>
  <c r="AQ18" i="1"/>
  <c r="T24" i="1"/>
  <c r="AQ24" i="1" s="1"/>
  <c r="T25" i="1"/>
  <c r="AQ25" i="1"/>
  <c r="T32" i="1"/>
  <c r="AQ32" i="1" s="1"/>
  <c r="T29" i="1"/>
  <c r="AQ29" i="1"/>
  <c r="L30" i="1"/>
  <c r="AI30" i="1" s="1"/>
  <c r="L40" i="1"/>
  <c r="AI40" i="1" s="1"/>
  <c r="L33" i="1"/>
  <c r="AI33" i="1" s="1"/>
  <c r="M22" i="1"/>
  <c r="AJ22" i="1" s="1"/>
  <c r="M23" i="1"/>
  <c r="AJ23" i="1" s="1"/>
  <c r="M20" i="1"/>
  <c r="AJ20" i="1" s="1"/>
  <c r="O23" i="1"/>
  <c r="AL23" i="1" s="1"/>
  <c r="O26" i="1"/>
  <c r="O30" i="1"/>
  <c r="AL30" i="1"/>
  <c r="O32" i="1"/>
  <c r="AL32" i="1"/>
  <c r="O20" i="1"/>
  <c r="AL20" i="1"/>
  <c r="O31" i="1"/>
  <c r="AL31" i="1"/>
  <c r="O22" i="1"/>
  <c r="AL22" i="1"/>
  <c r="O21" i="1"/>
  <c r="AL21" i="1"/>
  <c r="O33" i="1"/>
  <c r="AL33" i="1"/>
  <c r="U18" i="1"/>
  <c r="AR18" i="1" s="1"/>
  <c r="Q23" i="1"/>
  <c r="AN23" i="1" s="1"/>
  <c r="Q30" i="1"/>
  <c r="AN30" i="1" s="1"/>
  <c r="Q20" i="1"/>
  <c r="AN20" i="1" s="1"/>
  <c r="Q31" i="1"/>
  <c r="AN31" i="1" s="1"/>
  <c r="Q32" i="1"/>
  <c r="AN32" i="1" s="1"/>
  <c r="Q21" i="1"/>
  <c r="AN21" i="1" s="1"/>
  <c r="Q28" i="1"/>
  <c r="Q33" i="1"/>
  <c r="AN33" i="1"/>
  <c r="Q22" i="1"/>
  <c r="AN22" i="1"/>
  <c r="M30" i="1"/>
  <c r="AJ30" i="1" s="1"/>
  <c r="J33" i="1"/>
  <c r="AG33" i="1" s="1"/>
  <c r="J31" i="1"/>
  <c r="AG31" i="1" s="1"/>
  <c r="J27" i="1"/>
  <c r="AG27" i="1" s="1"/>
  <c r="J24" i="1"/>
  <c r="AG24" i="1"/>
  <c r="J17" i="1"/>
  <c r="AG17" i="1" s="1"/>
  <c r="J22" i="1"/>
  <c r="AG22" i="1" s="1"/>
  <c r="J32" i="1"/>
  <c r="AG32" i="1" s="1"/>
  <c r="J26" i="1"/>
  <c r="AG26" i="1"/>
  <c r="J15" i="1"/>
  <c r="AG15" i="1" s="1"/>
  <c r="J19" i="1"/>
  <c r="AG19" i="1" s="1"/>
  <c r="J48" i="1"/>
  <c r="AG48" i="1" s="1"/>
  <c r="J47" i="1"/>
  <c r="AG47" i="1"/>
  <c r="J44" i="1"/>
  <c r="AG44" i="1" s="1"/>
  <c r="J40" i="1"/>
  <c r="AG40" i="1" s="1"/>
  <c r="J28" i="1"/>
  <c r="AG28" i="1" s="1"/>
  <c r="J20" i="1"/>
  <c r="AG20" i="1"/>
  <c r="J30" i="1"/>
  <c r="AG30" i="1" s="1"/>
  <c r="J25" i="1"/>
  <c r="AG25" i="1" s="1"/>
  <c r="J16" i="1"/>
  <c r="AG16" i="1" s="1"/>
  <c r="J29" i="1"/>
  <c r="AG29" i="1"/>
  <c r="J14" i="1"/>
  <c r="AG14" i="1"/>
  <c r="J18" i="1"/>
  <c r="AG18" i="1"/>
  <c r="J21" i="1"/>
  <c r="J23" i="1"/>
  <c r="AG23" i="1" s="1"/>
  <c r="J46" i="1"/>
  <c r="J45" i="1"/>
  <c r="AG45" i="1"/>
  <c r="J43" i="1"/>
  <c r="AG43" i="1"/>
  <c r="J41" i="1"/>
  <c r="AG41" i="1"/>
  <c r="J39" i="1"/>
  <c r="AG39" i="1"/>
  <c r="J42" i="1"/>
  <c r="AG42" i="1"/>
  <c r="V20" i="1"/>
  <c r="AS20" i="1" s="1"/>
  <c r="V16" i="1"/>
  <c r="AS16" i="1" s="1"/>
  <c r="V22" i="1"/>
  <c r="AS22" i="1" s="1"/>
  <c r="V29" i="1"/>
  <c r="AS29" i="1" s="1"/>
  <c r="M31" i="1"/>
  <c r="AJ31" i="1" s="1"/>
  <c r="M32" i="1"/>
  <c r="AJ32" i="1" s="1"/>
  <c r="E31" i="1"/>
  <c r="AB31" i="1" s="1"/>
  <c r="E16" i="1"/>
  <c r="E20" i="1"/>
  <c r="AB20" i="1"/>
  <c r="E33" i="1"/>
  <c r="AB33" i="1"/>
  <c r="E21" i="1"/>
  <c r="AB21" i="1"/>
  <c r="E45" i="1"/>
  <c r="AB45" i="1"/>
  <c r="E30" i="1"/>
  <c r="AB30" i="1"/>
  <c r="E22" i="1"/>
  <c r="AB22" i="1"/>
  <c r="E32" i="1"/>
  <c r="AB32" i="1"/>
  <c r="E47" i="1"/>
  <c r="AB47" i="1"/>
  <c r="E44" i="1"/>
  <c r="AB44" i="1"/>
  <c r="E46" i="1"/>
  <c r="AB46" i="1"/>
  <c r="E43" i="1"/>
  <c r="AB43" i="1"/>
  <c r="E23" i="1"/>
  <c r="AB23" i="1"/>
  <c r="E48" i="1"/>
  <c r="AB48" i="1"/>
  <c r="E42" i="1"/>
  <c r="AB42" i="1"/>
  <c r="E41" i="1"/>
  <c r="E40" i="1"/>
  <c r="AB40" i="1" s="1"/>
  <c r="E39" i="1"/>
  <c r="AB39" i="1" s="1"/>
  <c r="G30" i="1"/>
  <c r="AD30" i="1" s="1"/>
  <c r="G20" i="1"/>
  <c r="AD20" i="1" s="1"/>
  <c r="G32" i="1"/>
  <c r="AD32" i="1" s="1"/>
  <c r="G22" i="1"/>
  <c r="AD22" i="1" s="1"/>
  <c r="G42" i="1"/>
  <c r="AD42" i="1" s="1"/>
  <c r="G23" i="1"/>
  <c r="AD23" i="1" s="1"/>
  <c r="G33" i="1"/>
  <c r="AD33" i="1" s="1"/>
  <c r="G18" i="1"/>
  <c r="G21" i="1"/>
  <c r="AD21" i="1"/>
  <c r="G31" i="1"/>
  <c r="AD31" i="1" s="1"/>
  <c r="G39" i="1"/>
  <c r="AD39" i="1" s="1"/>
  <c r="G47" i="1"/>
  <c r="AD47" i="1" s="1"/>
  <c r="G46" i="1"/>
  <c r="AD46" i="1" s="1"/>
  <c r="G40" i="1"/>
  <c r="AD40" i="1" s="1"/>
  <c r="I16" i="1"/>
  <c r="AF16" i="1" s="1"/>
  <c r="I29" i="1"/>
  <c r="AF29" i="1" s="1"/>
  <c r="I25" i="1"/>
  <c r="AF25" i="1" s="1"/>
  <c r="I15" i="1"/>
  <c r="AF15" i="1" s="1"/>
  <c r="I19" i="1"/>
  <c r="AF19" i="1" s="1"/>
  <c r="I20" i="1"/>
  <c r="I30" i="1"/>
  <c r="AF30" i="1"/>
  <c r="I17" i="1"/>
  <c r="AF17" i="1"/>
  <c r="I23" i="1"/>
  <c r="AF23" i="1"/>
  <c r="I42" i="1"/>
  <c r="AF42" i="1"/>
  <c r="I31" i="1"/>
  <c r="AF31" i="1"/>
  <c r="I26" i="1"/>
  <c r="AF26" i="1"/>
  <c r="I18" i="1"/>
  <c r="AF18" i="1"/>
  <c r="I22" i="1"/>
  <c r="AF22" i="1"/>
  <c r="I46" i="1"/>
  <c r="AF46" i="1"/>
  <c r="I45" i="1"/>
  <c r="I44" i="1"/>
  <c r="AF44" i="1" s="1"/>
  <c r="I33" i="1"/>
  <c r="AF33" i="1" s="1"/>
  <c r="I28" i="1"/>
  <c r="AF28" i="1" s="1"/>
  <c r="I14" i="1"/>
  <c r="AF14" i="1" s="1"/>
  <c r="I21" i="1"/>
  <c r="AF21" i="1" s="1"/>
  <c r="I43" i="1"/>
  <c r="AF43" i="1" s="1"/>
  <c r="I41" i="1"/>
  <c r="AF41" i="1" s="1"/>
  <c r="I40" i="1"/>
  <c r="AF40" i="1" s="1"/>
  <c r="I32" i="1"/>
  <c r="AF32" i="1" s="1"/>
  <c r="I27" i="1"/>
  <c r="AF27" i="1" s="1"/>
  <c r="I24" i="1"/>
  <c r="AF24" i="1" s="1"/>
  <c r="I48" i="1"/>
  <c r="AF48" i="1" s="1"/>
  <c r="I39" i="1"/>
  <c r="AF39" i="1" s="1"/>
  <c r="I47" i="1"/>
  <c r="AF47" i="1" s="1"/>
  <c r="H47" i="1"/>
  <c r="AE47" i="1" s="1"/>
  <c r="H44" i="1"/>
  <c r="H40" i="1"/>
  <c r="AE40" i="1"/>
  <c r="H48" i="1"/>
  <c r="AE48" i="1"/>
  <c r="H46" i="1"/>
  <c r="AE46" i="1"/>
  <c r="H45" i="1"/>
  <c r="AE45" i="1"/>
  <c r="H43" i="1"/>
  <c r="AE43" i="1"/>
  <c r="H42" i="1"/>
  <c r="AE42" i="1" s="1"/>
  <c r="H41" i="1"/>
  <c r="AE41" i="1" s="1"/>
  <c r="H39" i="1"/>
  <c r="AE39" i="1" s="1"/>
  <c r="M24" i="1"/>
  <c r="F13" i="9" l="1"/>
  <c r="F16" i="9" s="1"/>
  <c r="L48" i="9" s="1"/>
  <c r="D18" i="9"/>
  <c r="V48" i="9" s="1"/>
  <c r="D17" i="9"/>
  <c r="P48" i="9" s="1"/>
  <c r="I14" i="7"/>
  <c r="I40" i="7" s="1"/>
  <c r="G20" i="7"/>
  <c r="G12" i="7"/>
  <c r="G14" i="7" s="1"/>
  <c r="G40" i="7" s="1"/>
  <c r="D16" i="7"/>
  <c r="F42" i="7"/>
  <c r="I13" i="3"/>
  <c r="I33" i="3" s="1"/>
  <c r="I14" i="3"/>
  <c r="O33" i="3" s="1"/>
  <c r="D16" i="2"/>
  <c r="F12" i="6"/>
  <c r="F15" i="6" s="1"/>
  <c r="L40" i="6" s="1"/>
  <c r="D16" i="6"/>
  <c r="P40" i="6" s="1"/>
  <c r="F16" i="2"/>
  <c r="F34" i="3"/>
  <c r="F35" i="4"/>
  <c r="G18" i="3"/>
  <c r="G14" i="4"/>
  <c r="M33" i="4" s="1"/>
  <c r="D14" i="3"/>
  <c r="J33" i="3" s="1"/>
  <c r="AA32" i="9"/>
  <c r="W34" i="9"/>
  <c r="X33" i="9"/>
  <c r="Z34" i="9"/>
  <c r="F21" i="9"/>
  <c r="G49" i="9"/>
  <c r="H50" i="9"/>
  <c r="X34" i="9"/>
  <c r="G21" i="9"/>
  <c r="H49" i="9"/>
  <c r="I21" i="9"/>
  <c r="E21" i="9"/>
  <c r="H13" i="9"/>
  <c r="H16" i="9" s="1"/>
  <c r="N48" i="9" s="1"/>
  <c r="E49" i="9"/>
  <c r="G50" i="9"/>
  <c r="H21" i="9"/>
  <c r="I49" i="9"/>
  <c r="D49" i="9"/>
  <c r="Z23" i="9"/>
  <c r="Z24" i="9"/>
  <c r="Y25" i="9"/>
  <c r="X26" i="9"/>
  <c r="X27" i="9"/>
  <c r="W28" i="9"/>
  <c r="J41" i="9"/>
  <c r="J42" i="9"/>
  <c r="O42" i="9"/>
  <c r="N43" i="9"/>
  <c r="N44" i="9"/>
  <c r="M45" i="9"/>
  <c r="L46" i="9"/>
  <c r="R23" i="9"/>
  <c r="Q24" i="9"/>
  <c r="P25" i="9"/>
  <c r="P26" i="9"/>
  <c r="U26" i="9"/>
  <c r="T27" i="9"/>
  <c r="T28" i="9"/>
  <c r="Y29" i="9"/>
  <c r="X30" i="9"/>
  <c r="X31" i="9"/>
  <c r="W32" i="9"/>
  <c r="V33" i="9"/>
  <c r="V34" i="9"/>
  <c r="AA34" i="9"/>
  <c r="H41" i="7"/>
  <c r="D20" i="7"/>
  <c r="F15" i="7"/>
  <c r="L40" i="7" s="1"/>
  <c r="P40" i="7"/>
  <c r="E42" i="7"/>
  <c r="D12" i="7"/>
  <c r="D15" i="7" s="1"/>
  <c r="J40" i="7" s="1"/>
  <c r="D42" i="7"/>
  <c r="G32" i="7"/>
  <c r="J25" i="7"/>
  <c r="I37" i="7"/>
  <c r="G29" i="7"/>
  <c r="M24" i="7"/>
  <c r="K38" i="7"/>
  <c r="H42" i="7"/>
  <c r="L25" i="7"/>
  <c r="E32" i="7"/>
  <c r="L34" i="7"/>
  <c r="E30" i="7"/>
  <c r="G42" i="7"/>
  <c r="G15" i="7"/>
  <c r="M40" i="7" s="1"/>
  <c r="H12" i="7"/>
  <c r="I36" i="7"/>
  <c r="F36" i="7"/>
  <c r="F29" i="7"/>
  <c r="K35" i="7"/>
  <c r="L33" i="7"/>
  <c r="H31" i="7"/>
  <c r="M23" i="7"/>
  <c r="S22" i="7"/>
  <c r="R24" i="7"/>
  <c r="U24" i="7"/>
  <c r="R23" i="7"/>
  <c r="G19" i="7"/>
  <c r="E20" i="7"/>
  <c r="H19" i="7"/>
  <c r="H20" i="7"/>
  <c r="E12" i="7"/>
  <c r="F20" i="7"/>
  <c r="I19" i="7"/>
  <c r="E19" i="7"/>
  <c r="D19" i="7"/>
  <c r="G28" i="7"/>
  <c r="H33" i="7"/>
  <c r="J21" i="7"/>
  <c r="L26" i="7"/>
  <c r="H32" i="7"/>
  <c r="N35" i="7"/>
  <c r="M21" i="7"/>
  <c r="G31" i="7"/>
  <c r="N36" i="7"/>
  <c r="O26" i="7"/>
  <c r="I38" i="7"/>
  <c r="J33" i="7"/>
  <c r="S29" i="7"/>
  <c r="U25" i="7"/>
  <c r="S30" i="7"/>
  <c r="K22" i="7"/>
  <c r="P32" i="7"/>
  <c r="M26" i="7"/>
  <c r="S21" i="7"/>
  <c r="T26" i="7"/>
  <c r="T31" i="7"/>
  <c r="I29" i="7"/>
  <c r="D35" i="7"/>
  <c r="L22" i="7"/>
  <c r="D28" i="7"/>
  <c r="G34" i="7"/>
  <c r="O33" i="7"/>
  <c r="K23" i="7"/>
  <c r="I34" i="7"/>
  <c r="N38" i="7"/>
  <c r="I28" i="7"/>
  <c r="O34" i="7"/>
  <c r="K26" i="7"/>
  <c r="Q28" i="7"/>
  <c r="S24" i="7"/>
  <c r="U27" i="7"/>
  <c r="T25" i="7"/>
  <c r="R30" i="7"/>
  <c r="U26" i="7"/>
  <c r="P31" i="7"/>
  <c r="R25" i="7"/>
  <c r="P29" i="7"/>
  <c r="G12" i="6"/>
  <c r="D19" i="6"/>
  <c r="E41" i="6"/>
  <c r="I19" i="6"/>
  <c r="H19" i="6"/>
  <c r="D12" i="6"/>
  <c r="I12" i="6"/>
  <c r="D41" i="6"/>
  <c r="F14" i="6"/>
  <c r="F40" i="6" s="1"/>
  <c r="H12" i="6"/>
  <c r="G41" i="6"/>
  <c r="E12" i="6"/>
  <c r="H41" i="6"/>
  <c r="F41" i="6"/>
  <c r="F19" i="6"/>
  <c r="E19" i="6"/>
  <c r="E20" i="5"/>
  <c r="G12" i="5"/>
  <c r="G14" i="5" s="1"/>
  <c r="G40" i="5" s="1"/>
  <c r="F20" i="5"/>
  <c r="I41" i="5"/>
  <c r="G41" i="5"/>
  <c r="E35" i="5"/>
  <c r="E31" i="5"/>
  <c r="U23" i="5"/>
  <c r="F33" i="5"/>
  <c r="D36" i="5"/>
  <c r="H38" i="5"/>
  <c r="J23" i="5"/>
  <c r="G32" i="5"/>
  <c r="Q24" i="5"/>
  <c r="D42" i="5"/>
  <c r="E41" i="5"/>
  <c r="G42" i="5"/>
  <c r="F41" i="5"/>
  <c r="E29" i="5"/>
  <c r="F42" i="5"/>
  <c r="G34" i="5"/>
  <c r="I14" i="5"/>
  <c r="I40" i="5" s="1"/>
  <c r="I15" i="5"/>
  <c r="O40" i="5" s="1"/>
  <c r="I16" i="5"/>
  <c r="U40" i="5" s="1"/>
  <c r="F12" i="5"/>
  <c r="F15" i="5" s="1"/>
  <c r="L40" i="5" s="1"/>
  <c r="E12" i="5"/>
  <c r="D12" i="5"/>
  <c r="O21" i="5"/>
  <c r="M22" i="5"/>
  <c r="J25" i="5"/>
  <c r="M26" i="5"/>
  <c r="I29" i="5"/>
  <c r="H32" i="5"/>
  <c r="S21" i="5"/>
  <c r="U25" i="5"/>
  <c r="D37" i="5"/>
  <c r="J24" i="5"/>
  <c r="M25" i="5"/>
  <c r="G27" i="5"/>
  <c r="I30" i="5"/>
  <c r="Q22" i="5"/>
  <c r="U26" i="5"/>
  <c r="E37" i="5"/>
  <c r="K24" i="4"/>
  <c r="H35" i="4"/>
  <c r="H34" i="4"/>
  <c r="F34" i="4"/>
  <c r="G35" i="4"/>
  <c r="I34" i="4"/>
  <c r="E34" i="4"/>
  <c r="G34" i="4"/>
  <c r="F19" i="4"/>
  <c r="I18" i="4"/>
  <c r="I19" i="4"/>
  <c r="E13" i="4"/>
  <c r="E33" i="4" s="1"/>
  <c r="E35" i="3"/>
  <c r="I18" i="3"/>
  <c r="E18" i="3"/>
  <c r="H18" i="3"/>
  <c r="E13" i="3"/>
  <c r="E33" i="3" s="1"/>
  <c r="G14" i="3"/>
  <c r="M33" i="3" s="1"/>
  <c r="E20" i="6"/>
  <c r="G20" i="6"/>
  <c r="D20" i="6"/>
  <c r="F20" i="6"/>
  <c r="H20" i="6"/>
  <c r="I20" i="6"/>
  <c r="F21" i="7"/>
  <c r="F21" i="6"/>
  <c r="F21" i="5"/>
  <c r="F20" i="4"/>
  <c r="F23" i="9"/>
  <c r="L29" i="9" s="1"/>
  <c r="F20" i="3"/>
  <c r="F17" i="2"/>
  <c r="A36" i="4" a="1"/>
  <c r="V17" i="1"/>
  <c r="AS17" i="1" s="1"/>
  <c r="V27" i="1"/>
  <c r="AS27" i="1" s="1"/>
  <c r="V14" i="1"/>
  <c r="AS14" i="1" s="1"/>
  <c r="V30" i="1"/>
  <c r="AS30" i="1" s="1"/>
  <c r="V24" i="1"/>
  <c r="AS24" i="1" s="1"/>
  <c r="V32" i="1"/>
  <c r="AS32" i="1" s="1"/>
  <c r="V23" i="1"/>
  <c r="AS23" i="1" s="1"/>
  <c r="V19" i="1"/>
  <c r="AS19" i="1" s="1"/>
  <c r="V26" i="1"/>
  <c r="AS26" i="1" s="1"/>
  <c r="V15" i="1"/>
  <c r="AS15" i="1" s="1"/>
  <c r="V21" i="1"/>
  <c r="AS21" i="1" s="1"/>
  <c r="V31" i="1"/>
  <c r="AS31" i="1" s="1"/>
  <c r="V28" i="1"/>
  <c r="AS28" i="1" s="1"/>
  <c r="V18" i="1"/>
  <c r="AS18" i="1" s="1"/>
  <c r="V25" i="1"/>
  <c r="AS25" i="1" s="1"/>
  <c r="V33" i="1"/>
  <c r="G43" i="1"/>
  <c r="G45" i="1"/>
  <c r="AD45" i="1" s="1"/>
  <c r="G48" i="1"/>
  <c r="AD48" i="1" s="1"/>
  <c r="G44" i="1"/>
  <c r="AD44" i="1" s="1"/>
  <c r="G41" i="1"/>
  <c r="AD41" i="1" s="1"/>
  <c r="U14" i="1"/>
  <c r="AR14" i="1" s="1"/>
  <c r="U23" i="1"/>
  <c r="AR23" i="1" s="1"/>
  <c r="U29" i="1"/>
  <c r="AR29" i="1" s="1"/>
  <c r="U22" i="1"/>
  <c r="AR22" i="1" s="1"/>
  <c r="U27" i="1"/>
  <c r="AR27" i="1" s="1"/>
  <c r="U31" i="1"/>
  <c r="AR31" i="1" s="1"/>
  <c r="U26" i="1"/>
  <c r="AR26" i="1" s="1"/>
  <c r="U21" i="1"/>
  <c r="AR21" i="1" s="1"/>
  <c r="U17" i="1"/>
  <c r="AR17" i="1" s="1"/>
  <c r="U28" i="1"/>
  <c r="AR28" i="1" s="1"/>
  <c r="U19" i="1"/>
  <c r="AR19" i="1" s="1"/>
  <c r="U25" i="1"/>
  <c r="AR25" i="1" s="1"/>
  <c r="U15" i="1"/>
  <c r="AR15" i="1" s="1"/>
  <c r="U24" i="1"/>
  <c r="AR24" i="1" s="1"/>
  <c r="U32" i="1"/>
  <c r="U30" i="1"/>
  <c r="AR30" i="1" s="1"/>
  <c r="U16" i="1"/>
  <c r="AR16" i="1" s="1"/>
  <c r="U20" i="1"/>
  <c r="AR20" i="1" s="1"/>
  <c r="U33" i="1"/>
  <c r="AR33" i="1" s="1"/>
  <c r="L32" i="1"/>
  <c r="AI32" i="1" s="1"/>
  <c r="L46" i="1"/>
  <c r="AI46" i="1" s="1"/>
  <c r="L43" i="1"/>
  <c r="AI43" i="1" s="1"/>
  <c r="L42" i="1"/>
  <c r="AI42" i="1" s="1"/>
  <c r="L39" i="1"/>
  <c r="AI39" i="1" s="1"/>
  <c r="L22" i="1"/>
  <c r="AI22" i="1" s="1"/>
  <c r="L26" i="1"/>
  <c r="AI26" i="1" s="1"/>
  <c r="L21" i="1"/>
  <c r="AI21" i="1" s="1"/>
  <c r="L16" i="1"/>
  <c r="AI16" i="1" s="1"/>
  <c r="L44" i="1"/>
  <c r="AI44" i="1" s="1"/>
  <c r="L31" i="1"/>
  <c r="AI31" i="1" s="1"/>
  <c r="L14" i="1"/>
  <c r="AI14" i="1" s="1"/>
  <c r="L28" i="1"/>
  <c r="AI28" i="1" s="1"/>
  <c r="L18" i="1"/>
  <c r="AI18" i="1" s="1"/>
  <c r="L27" i="1"/>
  <c r="AI27" i="1" s="1"/>
  <c r="L45" i="1"/>
  <c r="AI45" i="1" s="1"/>
  <c r="L24" i="1"/>
  <c r="AI24" i="1" s="1"/>
  <c r="L41" i="1"/>
  <c r="AI41" i="1" s="1"/>
  <c r="L19" i="1"/>
  <c r="AI19" i="1" s="1"/>
  <c r="L48" i="1"/>
  <c r="L17" i="1"/>
  <c r="AI17" i="1" s="1"/>
  <c r="L25" i="1"/>
  <c r="AI25" i="1" s="1"/>
  <c r="L15" i="1"/>
  <c r="AI15" i="1" s="1"/>
  <c r="L29" i="1"/>
  <c r="AI29" i="1" s="1"/>
  <c r="L23" i="1"/>
  <c r="L47" i="1"/>
  <c r="AI47" i="1" s="1"/>
  <c r="L20" i="1"/>
  <c r="AI20" i="1" s="1"/>
  <c r="F13" i="3"/>
  <c r="F33" i="3" s="1"/>
  <c r="H16" i="5"/>
  <c r="T40" i="5" s="1"/>
  <c r="H14" i="5"/>
  <c r="H40" i="5" s="1"/>
  <c r="H15" i="5"/>
  <c r="N40" i="5" s="1"/>
  <c r="F19" i="3"/>
  <c r="H19" i="3"/>
  <c r="D19" i="3"/>
  <c r="I19" i="3"/>
  <c r="E19" i="3"/>
  <c r="K44" i="1"/>
  <c r="AH44" i="1" s="1"/>
  <c r="K42" i="1"/>
  <c r="AH42" i="1" s="1"/>
  <c r="K43" i="1"/>
  <c r="AH43" i="1" s="1"/>
  <c r="K40" i="1"/>
  <c r="AH40" i="1" s="1"/>
  <c r="K39" i="1"/>
  <c r="AH39" i="1" s="1"/>
  <c r="K47" i="1"/>
  <c r="K41" i="1"/>
  <c r="AH41" i="1" s="1"/>
  <c r="K48" i="1"/>
  <c r="AH48" i="1" s="1"/>
  <c r="K45" i="1"/>
  <c r="AH45" i="1" s="1"/>
  <c r="D15" i="2"/>
  <c r="I15" i="2"/>
  <c r="E15" i="2"/>
  <c r="F15" i="2"/>
  <c r="I10" i="2"/>
  <c r="I12" i="2" s="1"/>
  <c r="G10" i="2"/>
  <c r="G12" i="2" s="1"/>
  <c r="E10" i="2"/>
  <c r="E12" i="2" s="1"/>
  <c r="D10" i="2"/>
  <c r="D12" i="2" s="1"/>
  <c r="H10" i="2"/>
  <c r="H12" i="2" s="1"/>
  <c r="F10" i="2"/>
  <c r="F12" i="2" s="1"/>
  <c r="Z38" i="1"/>
  <c r="AO38" i="1"/>
  <c r="AN38" i="1"/>
  <c r="AQ38" i="1"/>
  <c r="AA38" i="1"/>
  <c r="AH38" i="1"/>
  <c r="AC38" i="1"/>
  <c r="AK38" i="1"/>
  <c r="AG38" i="1"/>
  <c r="AJ38" i="1"/>
  <c r="AM38" i="1"/>
  <c r="AD38" i="1"/>
  <c r="AF38" i="1"/>
  <c r="AI38" i="1"/>
  <c r="AP38" i="1"/>
  <c r="F48" i="1"/>
  <c r="AC48" i="1" s="1"/>
  <c r="F43" i="1"/>
  <c r="AC43" i="1" s="1"/>
  <c r="F46" i="1"/>
  <c r="AC46" i="1" s="1"/>
  <c r="F44" i="1"/>
  <c r="AC44" i="1" s="1"/>
  <c r="F39" i="1"/>
  <c r="AC39" i="1" s="1"/>
  <c r="F47" i="1"/>
  <c r="AC47" i="1" s="1"/>
  <c r="F40" i="1"/>
  <c r="AC40" i="1" s="1"/>
  <c r="F45" i="1"/>
  <c r="AC45" i="1" s="1"/>
  <c r="F42" i="1"/>
  <c r="D14" i="7"/>
  <c r="D40" i="7" s="1"/>
  <c r="D19" i="5"/>
  <c r="H19" i="5"/>
  <c r="E19" i="5"/>
  <c r="F19" i="5"/>
  <c r="G19" i="5"/>
  <c r="J29" i="7"/>
  <c r="J28" i="4"/>
  <c r="J28" i="3"/>
  <c r="J28" i="6"/>
  <c r="J28" i="7"/>
  <c r="J27" i="3"/>
  <c r="L32" i="7"/>
  <c r="L31" i="4"/>
  <c r="L31" i="3"/>
  <c r="L32" i="6"/>
  <c r="E34" i="3"/>
  <c r="I34" i="3"/>
  <c r="G19" i="4"/>
  <c r="D35" i="4"/>
  <c r="I35" i="4"/>
  <c r="I26" i="4"/>
  <c r="E28" i="4"/>
  <c r="F29" i="4"/>
  <c r="F30" i="4"/>
  <c r="H31" i="4"/>
  <c r="O20" i="4"/>
  <c r="J22" i="4"/>
  <c r="L23" i="4"/>
  <c r="L24" i="4"/>
  <c r="M25" i="4"/>
  <c r="I20" i="5"/>
  <c r="K21" i="5"/>
  <c r="K22" i="5"/>
  <c r="N23" i="5"/>
  <c r="N24" i="5"/>
  <c r="O25" i="5"/>
  <c r="N26" i="5"/>
  <c r="G28" i="5"/>
  <c r="D30" i="5"/>
  <c r="G31" i="5"/>
  <c r="H41" i="5"/>
  <c r="E42" i="5"/>
  <c r="R22" i="5"/>
  <c r="P25" i="5"/>
  <c r="G33" i="5"/>
  <c r="G35" i="5"/>
  <c r="E38" i="5"/>
  <c r="N26" i="4"/>
  <c r="N26" i="3"/>
  <c r="N27" i="7"/>
  <c r="N28" i="7"/>
  <c r="N28" i="6"/>
  <c r="F35" i="3"/>
  <c r="H35" i="3"/>
  <c r="D26" i="4"/>
  <c r="F27" i="4"/>
  <c r="F28" i="4"/>
  <c r="G29" i="4"/>
  <c r="I30" i="4"/>
  <c r="J20" i="4"/>
  <c r="J21" i="4"/>
  <c r="L22" i="4"/>
  <c r="M23" i="4"/>
  <c r="N24" i="4"/>
  <c r="G20" i="5"/>
  <c r="O23" i="5"/>
  <c r="F27" i="5"/>
  <c r="I28" i="5"/>
  <c r="E30" i="5"/>
  <c r="D32" i="5"/>
  <c r="Q23" i="5"/>
  <c r="T25" i="5"/>
  <c r="H33" i="5"/>
  <c r="F36" i="5"/>
  <c r="L31" i="7"/>
  <c r="L31" i="6"/>
  <c r="J32" i="7"/>
  <c r="J32" i="6"/>
  <c r="N25" i="4"/>
  <c r="O24" i="4"/>
  <c r="J24" i="4"/>
  <c r="J23" i="4"/>
  <c r="K22" i="4"/>
  <c r="L21" i="4"/>
  <c r="L20" i="4"/>
  <c r="G31" i="4"/>
  <c r="H30" i="4"/>
  <c r="H29" i="4"/>
  <c r="I28" i="4"/>
  <c r="D28" i="4"/>
  <c r="D27" i="4"/>
  <c r="E26" i="4"/>
  <c r="I37" i="5"/>
  <c r="E36" i="5"/>
  <c r="F34" i="5"/>
  <c r="S26" i="5"/>
  <c r="U24" i="5"/>
  <c r="P23" i="5"/>
  <c r="Q21" i="5"/>
  <c r="I32" i="5"/>
  <c r="I31" i="5"/>
  <c r="H30" i="5"/>
  <c r="F29" i="5"/>
  <c r="E28" i="5"/>
  <c r="E27" i="5"/>
  <c r="K25" i="5"/>
  <c r="O24" i="5"/>
  <c r="M23" i="5"/>
  <c r="N22" i="5"/>
  <c r="J21" i="5"/>
  <c r="N28" i="4"/>
  <c r="N28" i="3"/>
  <c r="L30" i="7"/>
  <c r="L29" i="4"/>
  <c r="L29" i="3"/>
  <c r="I41" i="7"/>
  <c r="G41" i="7"/>
  <c r="D41" i="7"/>
  <c r="E41" i="7"/>
  <c r="D22" i="9"/>
  <c r="H22" i="9"/>
  <c r="F22" i="9"/>
  <c r="I22" i="9"/>
  <c r="E22" i="9"/>
  <c r="G22" i="9"/>
  <c r="E38" i="7"/>
  <c r="I27" i="7"/>
  <c r="G30" i="7"/>
  <c r="D33" i="7"/>
  <c r="H35" i="7"/>
  <c r="F38" i="7"/>
  <c r="J23" i="7"/>
  <c r="N25" i="7"/>
  <c r="H28" i="7"/>
  <c r="D32" i="7"/>
  <c r="E35" i="7"/>
  <c r="L38" i="7"/>
  <c r="M34" i="7"/>
  <c r="O37" i="7"/>
  <c r="M25" i="7"/>
  <c r="F30" i="7"/>
  <c r="H36" i="7"/>
  <c r="J36" i="7"/>
  <c r="O21" i="7"/>
  <c r="O25" i="7"/>
  <c r="I30" i="7"/>
  <c r="F37" i="7"/>
  <c r="M35" i="7"/>
  <c r="J35" i="7"/>
  <c r="O24" i="7"/>
  <c r="U30" i="7"/>
  <c r="J37" i="7"/>
  <c r="Q25" i="7"/>
  <c r="U21" i="7"/>
  <c r="T28" i="7"/>
  <c r="E27" i="7"/>
  <c r="K21" i="7"/>
  <c r="P23" i="7"/>
  <c r="Q31" i="7"/>
  <c r="L36" i="7"/>
  <c r="J24" i="7"/>
  <c r="Q24" i="7"/>
  <c r="T32" i="7"/>
  <c r="R27" i="7"/>
  <c r="P26" i="7"/>
  <c r="T22" i="7"/>
  <c r="U29" i="7"/>
  <c r="F24" i="9"/>
  <c r="L30" i="9" s="1"/>
  <c r="N37" i="7"/>
  <c r="L21" i="7"/>
  <c r="Q27" i="7"/>
  <c r="T30" i="7"/>
  <c r="P22" i="7"/>
  <c r="T24" i="7"/>
  <c r="D29" i="7"/>
  <c r="R28" i="7"/>
  <c r="U31" i="7"/>
  <c r="U22" i="7"/>
  <c r="S25" i="7"/>
  <c r="K25" i="7"/>
  <c r="H34" i="7"/>
  <c r="R29" i="7"/>
  <c r="P21" i="7"/>
  <c r="T23" i="7"/>
  <c r="R26" i="7"/>
  <c r="N24" i="7"/>
  <c r="G37" i="7"/>
  <c r="T29" i="7"/>
  <c r="Q21" i="7"/>
  <c r="U23" i="7"/>
  <c r="S26" i="7"/>
  <c r="S27" i="7"/>
  <c r="Q30" i="7"/>
  <c r="U32" i="7"/>
  <c r="D27" i="7"/>
  <c r="O38" i="7"/>
  <c r="K36" i="7"/>
  <c r="M33" i="7"/>
  <c r="G33" i="7"/>
  <c r="H29" i="7"/>
  <c r="J26" i="7"/>
  <c r="O22" i="7"/>
  <c r="J38" i="7"/>
  <c r="L35" i="7"/>
  <c r="H38" i="7"/>
  <c r="F32" i="7"/>
  <c r="F28" i="7"/>
  <c r="K24" i="7"/>
  <c r="M38" i="7"/>
  <c r="O35" i="7"/>
  <c r="E36" i="7"/>
  <c r="G38" i="7"/>
  <c r="I35" i="7"/>
  <c r="E33" i="7"/>
  <c r="H30" i="7"/>
  <c r="F21" i="4"/>
  <c r="N32" i="6"/>
  <c r="G35" i="7"/>
  <c r="E29" i="7"/>
  <c r="I31" i="7"/>
  <c r="F34" i="7"/>
  <c r="D37" i="7"/>
  <c r="N21" i="7"/>
  <c r="L24" i="7"/>
  <c r="F27" i="7"/>
  <c r="D30" i="7"/>
  <c r="I33" i="7"/>
  <c r="E37" i="7"/>
  <c r="K33" i="7"/>
  <c r="M36" i="7"/>
  <c r="N22" i="7"/>
  <c r="G27" i="7"/>
  <c r="F33" i="7"/>
  <c r="J34" i="7"/>
  <c r="L37" i="7"/>
  <c r="L23" i="7"/>
  <c r="H27" i="7"/>
  <c r="I32" i="7"/>
  <c r="K34" i="7"/>
  <c r="M37" i="7"/>
  <c r="D36" i="7"/>
  <c r="Q32" i="7"/>
  <c r="U28" i="7"/>
  <c r="Q23" i="7"/>
  <c r="R31" i="7"/>
  <c r="P27" i="7"/>
  <c r="O23" i="7"/>
  <c r="P25" i="7"/>
  <c r="T21" i="7"/>
  <c r="S28" i="7"/>
  <c r="E28" i="7"/>
  <c r="Q26" i="7"/>
  <c r="Q22" i="7"/>
  <c r="P30" i="7"/>
  <c r="D34" i="7"/>
  <c r="P24" i="7"/>
  <c r="S32" i="7"/>
  <c r="P28" i="7"/>
  <c r="G17" i="1"/>
  <c r="AD17" i="1" s="1"/>
  <c r="G19" i="1"/>
  <c r="AD19" i="1" s="1"/>
  <c r="E19" i="1"/>
  <c r="AB19" i="1" s="1"/>
  <c r="N29" i="1"/>
  <c r="AK29" i="1" s="1"/>
  <c r="N28" i="1"/>
  <c r="AK28" i="1" s="1"/>
  <c r="N27" i="1"/>
  <c r="AK27" i="1" s="1"/>
  <c r="N26" i="1"/>
  <c r="AK26" i="1" s="1"/>
  <c r="F16" i="1"/>
  <c r="AC16" i="1" s="1"/>
  <c r="E18" i="1"/>
  <c r="AB18" i="1" s="1"/>
  <c r="E17" i="1"/>
  <c r="AB17" i="1" s="1"/>
  <c r="F15" i="9"/>
  <c r="F48" i="9" s="1"/>
  <c r="G13" i="9"/>
  <c r="I13" i="9"/>
  <c r="R12" i="1"/>
  <c r="P12" i="1"/>
  <c r="C12" i="1"/>
  <c r="D12" i="1"/>
  <c r="D13" i="9"/>
  <c r="F13" i="1"/>
  <c r="D13" i="1"/>
  <c r="H13" i="1"/>
  <c r="E13" i="9"/>
  <c r="I50" i="9"/>
  <c r="E50" i="9"/>
  <c r="Q41" i="9"/>
  <c r="U41" i="9"/>
  <c r="S42" i="9"/>
  <c r="Q43" i="9"/>
  <c r="U43" i="9"/>
  <c r="S44" i="9"/>
  <c r="Q45" i="9"/>
  <c r="U45" i="9"/>
  <c r="S46" i="9"/>
  <c r="W35" i="9"/>
  <c r="AA35" i="9"/>
  <c r="Y36" i="9"/>
  <c r="W37" i="9"/>
  <c r="AA37" i="9"/>
  <c r="Y38" i="9"/>
  <c r="W39" i="9"/>
  <c r="AA39" i="9"/>
  <c r="Y40" i="9"/>
  <c r="W23" i="9"/>
  <c r="AA23" i="9"/>
  <c r="Y24" i="9"/>
  <c r="W25" i="9"/>
  <c r="AA25" i="9"/>
  <c r="Y26" i="9"/>
  <c r="W27" i="9"/>
  <c r="AA27" i="9"/>
  <c r="Y28" i="9"/>
  <c r="K41" i="9"/>
  <c r="O41" i="9"/>
  <c r="M42" i="9"/>
  <c r="K43" i="9"/>
  <c r="O43" i="9"/>
  <c r="M44" i="9"/>
  <c r="K45" i="9"/>
  <c r="O45" i="9"/>
  <c r="M46" i="9"/>
  <c r="Q23" i="9"/>
  <c r="U23" i="9"/>
  <c r="S24" i="9"/>
  <c r="Q25" i="9"/>
  <c r="U25" i="9"/>
  <c r="S26" i="9"/>
  <c r="Q27" i="9"/>
  <c r="U27" i="9"/>
  <c r="S28" i="9"/>
  <c r="W29" i="9"/>
  <c r="AA29" i="9"/>
  <c r="Y30" i="9"/>
  <c r="W31" i="9"/>
  <c r="AA31" i="9"/>
  <c r="Y32" i="9"/>
  <c r="W33" i="9"/>
  <c r="AA33" i="9"/>
  <c r="D50" i="9"/>
  <c r="H15" i="9" l="1"/>
  <c r="H48" i="9" s="1"/>
  <c r="G16" i="5"/>
  <c r="S40" i="5" s="1"/>
  <c r="G15" i="5"/>
  <c r="M40" i="5" s="1"/>
  <c r="A36" i="3" a="1"/>
  <c r="H15" i="7"/>
  <c r="N40" i="7" s="1"/>
  <c r="H14" i="7"/>
  <c r="H40" i="7" s="1"/>
  <c r="E14" i="7"/>
  <c r="E40" i="7" s="1"/>
  <c r="E15" i="7"/>
  <c r="K40" i="7" s="1"/>
  <c r="G15" i="6"/>
  <c r="M40" i="6" s="1"/>
  <c r="G14" i="6"/>
  <c r="G40" i="6" s="1"/>
  <c r="I15" i="6"/>
  <c r="O40" i="6" s="1"/>
  <c r="I14" i="6"/>
  <c r="I40" i="6" s="1"/>
  <c r="H15" i="6"/>
  <c r="N40" i="6" s="1"/>
  <c r="H14" i="6"/>
  <c r="H40" i="6" s="1"/>
  <c r="D15" i="6"/>
  <c r="J40" i="6" s="1"/>
  <c r="D14" i="6"/>
  <c r="D40" i="6" s="1"/>
  <c r="E15" i="6"/>
  <c r="K40" i="6" s="1"/>
  <c r="E14" i="6"/>
  <c r="E40" i="6" s="1"/>
  <c r="F14" i="5"/>
  <c r="F40" i="5" s="1"/>
  <c r="D14" i="5"/>
  <c r="D40" i="5" s="1"/>
  <c r="D16" i="5"/>
  <c r="P40" i="5" s="1"/>
  <c r="D15" i="5"/>
  <c r="J40" i="5" s="1"/>
  <c r="F16" i="5"/>
  <c r="R40" i="5" s="1"/>
  <c r="E15" i="5"/>
  <c r="K40" i="5" s="1"/>
  <c r="E14" i="5"/>
  <c r="E40" i="5" s="1"/>
  <c r="E16" i="5"/>
  <c r="Q40" i="5" s="1"/>
  <c r="H15" i="1"/>
  <c r="AE15" i="1" s="1"/>
  <c r="H14" i="1"/>
  <c r="AE14" i="1" s="1"/>
  <c r="H28" i="1"/>
  <c r="AE28" i="1" s="1"/>
  <c r="I30" i="3" s="1"/>
  <c r="H26" i="1"/>
  <c r="AE26" i="1" s="1"/>
  <c r="I28" i="3" s="1"/>
  <c r="H24" i="1"/>
  <c r="AE24" i="1" s="1"/>
  <c r="I26" i="3" s="1"/>
  <c r="H29" i="1"/>
  <c r="AE29" i="1" s="1"/>
  <c r="I31" i="3" s="1"/>
  <c r="H27" i="1"/>
  <c r="AE27" i="1" s="1"/>
  <c r="I29" i="3" s="1"/>
  <c r="H25" i="1"/>
  <c r="AE25" i="1" s="1"/>
  <c r="I27" i="3" s="1"/>
  <c r="H30" i="1"/>
  <c r="AE30" i="1" s="1"/>
  <c r="H23" i="1"/>
  <c r="AE23" i="1" s="1"/>
  <c r="H19" i="1"/>
  <c r="H22" i="1"/>
  <c r="AE22" i="1" s="1"/>
  <c r="H21" i="1"/>
  <c r="AE21" i="1" s="1"/>
  <c r="H31" i="1"/>
  <c r="AE31" i="1" s="1"/>
  <c r="H20" i="1"/>
  <c r="AE20" i="1" s="1"/>
  <c r="H33" i="1"/>
  <c r="AE33" i="1" s="1"/>
  <c r="H32" i="1"/>
  <c r="AE32" i="1" s="1"/>
  <c r="F28" i="9"/>
  <c r="L34" i="9" s="1"/>
  <c r="F25" i="4"/>
  <c r="F26" i="6"/>
  <c r="F26" i="5"/>
  <c r="F26" i="7"/>
  <c r="F25" i="3"/>
  <c r="F22" i="2"/>
  <c r="F26" i="9"/>
  <c r="L32" i="9" s="1"/>
  <c r="F23" i="4"/>
  <c r="F24" i="7"/>
  <c r="F24" i="6"/>
  <c r="F24" i="5"/>
  <c r="F23" i="3"/>
  <c r="F20" i="2"/>
  <c r="K30" i="7"/>
  <c r="K30" i="6"/>
  <c r="K29" i="4"/>
  <c r="K29" i="3"/>
  <c r="H26" i="7"/>
  <c r="H28" i="9"/>
  <c r="N34" i="9" s="1"/>
  <c r="H26" i="6"/>
  <c r="H26" i="5"/>
  <c r="H25" i="4"/>
  <c r="H25" i="3"/>
  <c r="H22" i="2"/>
  <c r="H18" i="1"/>
  <c r="AE18" i="1" s="1"/>
  <c r="D15" i="9"/>
  <c r="D48" i="9" s="1"/>
  <c r="D16" i="9"/>
  <c r="J48" i="9" s="1"/>
  <c r="I16" i="9"/>
  <c r="O48" i="9" s="1"/>
  <c r="I15" i="9"/>
  <c r="I48" i="9" s="1"/>
  <c r="D18" i="1"/>
  <c r="AA18" i="1" s="1"/>
  <c r="D17" i="1"/>
  <c r="AA17" i="1" s="1"/>
  <c r="D19" i="1"/>
  <c r="AA19" i="1" s="1"/>
  <c r="D14" i="1"/>
  <c r="AA14" i="1" s="1"/>
  <c r="D28" i="1"/>
  <c r="AA28" i="1" s="1"/>
  <c r="E30" i="3" s="1"/>
  <c r="D26" i="1"/>
  <c r="AA26" i="1" s="1"/>
  <c r="E28" i="3" s="1"/>
  <c r="D24" i="1"/>
  <c r="AA24" i="1" s="1"/>
  <c r="E26" i="3" s="1"/>
  <c r="D23" i="1"/>
  <c r="AA23" i="1" s="1"/>
  <c r="D32" i="1"/>
  <c r="AA32" i="1" s="1"/>
  <c r="D30" i="1"/>
  <c r="AA30" i="1" s="1"/>
  <c r="D47" i="1"/>
  <c r="AA47" i="1" s="1"/>
  <c r="D40" i="1"/>
  <c r="D48" i="1"/>
  <c r="AA48" i="1" s="1"/>
  <c r="D31" i="1"/>
  <c r="AA31" i="1" s="1"/>
  <c r="D45" i="1"/>
  <c r="AA45" i="1" s="1"/>
  <c r="D42" i="1"/>
  <c r="AA42" i="1" s="1"/>
  <c r="D29" i="1"/>
  <c r="AA29" i="1" s="1"/>
  <c r="E31" i="3" s="1"/>
  <c r="D27" i="1"/>
  <c r="AA27" i="1" s="1"/>
  <c r="E29" i="3" s="1"/>
  <c r="D25" i="1"/>
  <c r="AA25" i="1" s="1"/>
  <c r="E27" i="3" s="1"/>
  <c r="D20" i="1"/>
  <c r="AA20" i="1" s="1"/>
  <c r="D33" i="1"/>
  <c r="AA33" i="1" s="1"/>
  <c r="D15" i="1"/>
  <c r="D44" i="1"/>
  <c r="AA44" i="1" s="1"/>
  <c r="D22" i="1"/>
  <c r="AA22" i="1" s="1"/>
  <c r="D21" i="1"/>
  <c r="AA21" i="1" s="1"/>
  <c r="D41" i="1"/>
  <c r="AA41" i="1" s="1"/>
  <c r="D43" i="1"/>
  <c r="AA43" i="1" s="1"/>
  <c r="D39" i="1"/>
  <c r="AA39" i="1" s="1"/>
  <c r="D46" i="1"/>
  <c r="AA46" i="1" s="1"/>
  <c r="D16" i="1"/>
  <c r="AA16" i="1" s="1"/>
  <c r="G16" i="9"/>
  <c r="M48" i="9" s="1"/>
  <c r="G15" i="9"/>
  <c r="G48" i="9" s="1"/>
  <c r="F18" i="1"/>
  <c r="AC18" i="1" s="1"/>
  <c r="F15" i="1"/>
  <c r="AC15" i="1" s="1"/>
  <c r="F14" i="1"/>
  <c r="AC14" i="1" s="1"/>
  <c r="F29" i="1"/>
  <c r="AC29" i="1" s="1"/>
  <c r="G31" i="3" s="1"/>
  <c r="F27" i="1"/>
  <c r="AC27" i="1" s="1"/>
  <c r="G29" i="3" s="1"/>
  <c r="F25" i="1"/>
  <c r="AC25" i="1" s="1"/>
  <c r="G27" i="3" s="1"/>
  <c r="F20" i="1"/>
  <c r="AC20" i="1" s="1"/>
  <c r="F32" i="1"/>
  <c r="AC32" i="1" s="1"/>
  <c r="F33" i="1"/>
  <c r="AC33" i="1" s="1"/>
  <c r="F31" i="1"/>
  <c r="AC31" i="1" s="1"/>
  <c r="F28" i="1"/>
  <c r="AC28" i="1" s="1"/>
  <c r="G30" i="3" s="1"/>
  <c r="F26" i="1"/>
  <c r="AC26" i="1" s="1"/>
  <c r="G28" i="3" s="1"/>
  <c r="F24" i="1"/>
  <c r="AC24" i="1" s="1"/>
  <c r="G26" i="3" s="1"/>
  <c r="F23" i="1"/>
  <c r="AC23" i="1" s="1"/>
  <c r="F21" i="1"/>
  <c r="AC21" i="1" s="1"/>
  <c r="F22" i="1"/>
  <c r="AC22" i="1" s="1"/>
  <c r="F30" i="1"/>
  <c r="AC30" i="1" s="1"/>
  <c r="F17" i="1"/>
  <c r="C19" i="1"/>
  <c r="Z19" i="1" s="1"/>
  <c r="C18" i="1"/>
  <c r="Z18" i="1" s="1"/>
  <c r="C17" i="1"/>
  <c r="Z17" i="1" s="1"/>
  <c r="C15" i="1"/>
  <c r="Z15" i="1" s="1"/>
  <c r="C16" i="1"/>
  <c r="Z16" i="1" s="1"/>
  <c r="C29" i="1"/>
  <c r="Z29" i="1" s="1"/>
  <c r="D31" i="3" s="1"/>
  <c r="C27" i="1"/>
  <c r="Z27" i="1" s="1"/>
  <c r="D29" i="3" s="1"/>
  <c r="C25" i="1"/>
  <c r="Z25" i="1" s="1"/>
  <c r="D27" i="3" s="1"/>
  <c r="C26" i="1"/>
  <c r="Z26" i="1" s="1"/>
  <c r="D28" i="3" s="1"/>
  <c r="C32" i="1"/>
  <c r="Z32" i="1" s="1"/>
  <c r="C31" i="1"/>
  <c r="Z31" i="1" s="1"/>
  <c r="C41" i="1"/>
  <c r="Z41" i="1" s="1"/>
  <c r="C14" i="1"/>
  <c r="C28" i="1"/>
  <c r="Z28" i="1" s="1"/>
  <c r="D30" i="3" s="1"/>
  <c r="C21" i="1"/>
  <c r="Z21" i="1" s="1"/>
  <c r="C44" i="1"/>
  <c r="Z44" i="1" s="1"/>
  <c r="C46" i="1"/>
  <c r="Z46" i="1" s="1"/>
  <c r="C40" i="1"/>
  <c r="Z40" i="1" s="1"/>
  <c r="C42" i="1"/>
  <c r="Z42" i="1" s="1"/>
  <c r="C48" i="1"/>
  <c r="Z48" i="1" s="1"/>
  <c r="C20" i="1"/>
  <c r="Z20" i="1" s="1"/>
  <c r="C45" i="1"/>
  <c r="Z45" i="1" s="1"/>
  <c r="C33" i="1"/>
  <c r="Z33" i="1" s="1"/>
  <c r="C47" i="1"/>
  <c r="Z47" i="1" s="1"/>
  <c r="C22" i="1"/>
  <c r="Z22" i="1" s="1"/>
  <c r="C24" i="1"/>
  <c r="Z24" i="1" s="1"/>
  <c r="D26" i="3" s="1"/>
  <c r="C43" i="1"/>
  <c r="Z43" i="1" s="1"/>
  <c r="C23" i="1"/>
  <c r="Z23" i="1" s="1"/>
  <c r="C30" i="1"/>
  <c r="Z30" i="1" s="1"/>
  <c r="C39" i="1"/>
  <c r="P26" i="1"/>
  <c r="AM26" i="1" s="1"/>
  <c r="P25" i="1"/>
  <c r="AM25" i="1" s="1"/>
  <c r="P24" i="1"/>
  <c r="AM24" i="1" s="1"/>
  <c r="P28" i="1"/>
  <c r="AM28" i="1" s="1"/>
  <c r="P29" i="1"/>
  <c r="AM29" i="1" s="1"/>
  <c r="P19" i="1"/>
  <c r="AM19" i="1" s="1"/>
  <c r="M25" i="3" s="1"/>
  <c r="P18" i="1"/>
  <c r="AM18" i="1" s="1"/>
  <c r="M24" i="3" s="1"/>
  <c r="P17" i="1"/>
  <c r="AM17" i="1" s="1"/>
  <c r="M23" i="3" s="1"/>
  <c r="P15" i="1"/>
  <c r="AM15" i="1" s="1"/>
  <c r="M21" i="3" s="1"/>
  <c r="P21" i="1"/>
  <c r="AM21" i="1" s="1"/>
  <c r="P22" i="1"/>
  <c r="AM22" i="1" s="1"/>
  <c r="P16" i="1"/>
  <c r="AM16" i="1" s="1"/>
  <c r="M22" i="3" s="1"/>
  <c r="P14" i="1"/>
  <c r="AM14" i="1" s="1"/>
  <c r="M20" i="3" s="1"/>
  <c r="P30" i="1"/>
  <c r="AM30" i="1" s="1"/>
  <c r="P27" i="1"/>
  <c r="P33" i="1"/>
  <c r="AM33" i="1" s="1"/>
  <c r="P23" i="1"/>
  <c r="AM23" i="1" s="1"/>
  <c r="P31" i="1"/>
  <c r="AM31" i="1" s="1"/>
  <c r="P32" i="1"/>
  <c r="AM32" i="1" s="1"/>
  <c r="P20" i="1"/>
  <c r="AM20" i="1" s="1"/>
  <c r="F27" i="9"/>
  <c r="L33" i="9" s="1"/>
  <c r="F25" i="6"/>
  <c r="F25" i="7"/>
  <c r="F24" i="4"/>
  <c r="F24" i="3"/>
  <c r="F21" i="2"/>
  <c r="F25" i="5"/>
  <c r="K31" i="7"/>
  <c r="K30" i="3"/>
  <c r="K31" i="6"/>
  <c r="K30" i="4"/>
  <c r="H26" i="9"/>
  <c r="N32" i="9" s="1"/>
  <c r="H24" i="7"/>
  <c r="H24" i="6"/>
  <c r="H23" i="4"/>
  <c r="H24" i="5"/>
  <c r="H23" i="3"/>
  <c r="H20" i="2"/>
  <c r="A45" i="4"/>
  <c r="A38" i="4"/>
  <c r="A41" i="4"/>
  <c r="A39" i="4"/>
  <c r="A37" i="4"/>
  <c r="A46" i="4"/>
  <c r="A43" i="4"/>
  <c r="A47" i="4"/>
  <c r="A40" i="4"/>
  <c r="A36" i="4"/>
  <c r="A42" i="4"/>
  <c r="A44" i="4"/>
  <c r="K29" i="7"/>
  <c r="K28" i="4"/>
  <c r="K29" i="6"/>
  <c r="K28" i="3"/>
  <c r="H17" i="1"/>
  <c r="AE17" i="1" s="1"/>
  <c r="E16" i="9"/>
  <c r="K48" i="9" s="1"/>
  <c r="E15" i="9"/>
  <c r="E48" i="9" s="1"/>
  <c r="R26" i="1"/>
  <c r="AO26" i="1" s="1"/>
  <c r="R27" i="1"/>
  <c r="AO27" i="1" s="1"/>
  <c r="R28" i="1"/>
  <c r="AO28" i="1" s="1"/>
  <c r="R25" i="1"/>
  <c r="AO25" i="1" s="1"/>
  <c r="R24" i="1"/>
  <c r="AO24" i="1" s="1"/>
  <c r="R17" i="1"/>
  <c r="AO17" i="1" s="1"/>
  <c r="O23" i="3" s="1"/>
  <c r="R19" i="1"/>
  <c r="AO19" i="1" s="1"/>
  <c r="O25" i="3" s="1"/>
  <c r="R16" i="1"/>
  <c r="AO16" i="1" s="1"/>
  <c r="O22" i="3" s="1"/>
  <c r="R14" i="1"/>
  <c r="AO14" i="1" s="1"/>
  <c r="O20" i="3" s="1"/>
  <c r="R30" i="1"/>
  <c r="AO30" i="1" s="1"/>
  <c r="R29" i="1"/>
  <c r="R18" i="1"/>
  <c r="AO18" i="1" s="1"/>
  <c r="O24" i="3" s="1"/>
  <c r="R15" i="1"/>
  <c r="AO15" i="1" s="1"/>
  <c r="O21" i="3" s="1"/>
  <c r="R33" i="1"/>
  <c r="AO33" i="1" s="1"/>
  <c r="R23" i="1"/>
  <c r="AO23" i="1" s="1"/>
  <c r="R32" i="1"/>
  <c r="AO32" i="1" s="1"/>
  <c r="R20" i="1"/>
  <c r="AO20" i="1" s="1"/>
  <c r="R21" i="1"/>
  <c r="AO21" i="1" s="1"/>
  <c r="R31" i="1"/>
  <c r="AO31" i="1" s="1"/>
  <c r="R22" i="1"/>
  <c r="AO22" i="1" s="1"/>
  <c r="G25" i="9"/>
  <c r="M31" i="9" s="1"/>
  <c r="G23" i="5"/>
  <c r="G23" i="7"/>
  <c r="G23" i="6"/>
  <c r="G22" i="4"/>
  <c r="G19" i="2"/>
  <c r="G22" i="3"/>
  <c r="K32" i="7"/>
  <c r="K31" i="4"/>
  <c r="K32" i="6"/>
  <c r="K31" i="3"/>
  <c r="F19" i="1"/>
  <c r="AC19" i="1" s="1"/>
  <c r="H16" i="1"/>
  <c r="AE16" i="1" s="1"/>
  <c r="A38" i="3"/>
  <c r="A39" i="3"/>
  <c r="A43" i="3"/>
  <c r="A41" i="3"/>
  <c r="A40" i="3"/>
  <c r="A44" i="3"/>
  <c r="A37" i="3"/>
  <c r="A36" i="3"/>
  <c r="A42" i="3"/>
  <c r="A47" i="3"/>
  <c r="A46" i="3"/>
  <c r="A45" i="3"/>
  <c r="A43" i="7" l="1" a="1"/>
  <c r="A60" i="7" s="1"/>
  <c r="A43" i="6" a="1"/>
  <c r="A43" i="5" a="1"/>
  <c r="A45" i="5" s="1"/>
  <c r="F45" i="5" s="1"/>
  <c r="H36" i="3"/>
  <c r="M36" i="3"/>
  <c r="K36" i="3"/>
  <c r="I36" i="3"/>
  <c r="F36" i="3"/>
  <c r="D36" i="3"/>
  <c r="G36" i="3"/>
  <c r="N36" i="3"/>
  <c r="E36" i="3"/>
  <c r="O36" i="3"/>
  <c r="J36" i="3"/>
  <c r="L36" i="3"/>
  <c r="N36" i="4"/>
  <c r="L36" i="4"/>
  <c r="D36" i="4"/>
  <c r="F36" i="4"/>
  <c r="I36" i="4"/>
  <c r="G36" i="4"/>
  <c r="E36" i="4"/>
  <c r="K36" i="4"/>
  <c r="O36" i="4"/>
  <c r="J36" i="4"/>
  <c r="M36" i="4"/>
  <c r="H36" i="4"/>
  <c r="G38" i="4"/>
  <c r="L38" i="4"/>
  <c r="F38" i="4"/>
  <c r="N38" i="4"/>
  <c r="O38" i="4"/>
  <c r="E38" i="4"/>
  <c r="K38" i="4"/>
  <c r="D38" i="4"/>
  <c r="I38" i="4"/>
  <c r="J38" i="4"/>
  <c r="M38" i="4"/>
  <c r="H38" i="4"/>
  <c r="E23" i="7"/>
  <c r="E25" i="9"/>
  <c r="K31" i="9" s="1"/>
  <c r="E22" i="4"/>
  <c r="E23" i="6"/>
  <c r="E22" i="3"/>
  <c r="E19" i="2"/>
  <c r="E23" i="5"/>
  <c r="E24" i="7"/>
  <c r="E26" i="9"/>
  <c r="K32" i="9" s="1"/>
  <c r="E24" i="5"/>
  <c r="E24" i="6"/>
  <c r="E23" i="4"/>
  <c r="E20" i="2"/>
  <c r="E23" i="3"/>
  <c r="I21" i="7"/>
  <c r="I23" i="9"/>
  <c r="O29" i="9" s="1"/>
  <c r="I21" i="6"/>
  <c r="I20" i="4"/>
  <c r="I20" i="3"/>
  <c r="I17" i="2"/>
  <c r="I21" i="5"/>
  <c r="J46" i="3"/>
  <c r="G46" i="3"/>
  <c r="D46" i="3"/>
  <c r="N46" i="3"/>
  <c r="H46" i="3"/>
  <c r="E46" i="3"/>
  <c r="M46" i="3"/>
  <c r="F46" i="3"/>
  <c r="O46" i="3"/>
  <c r="K46" i="3"/>
  <c r="L46" i="3"/>
  <c r="I46" i="3"/>
  <c r="K37" i="3"/>
  <c r="O37" i="3"/>
  <c r="J37" i="3"/>
  <c r="N37" i="3"/>
  <c r="D37" i="3"/>
  <c r="E37" i="3"/>
  <c r="I37" i="3"/>
  <c r="G37" i="3"/>
  <c r="F37" i="3"/>
  <c r="H37" i="3"/>
  <c r="L37" i="3"/>
  <c r="M37" i="3"/>
  <c r="I43" i="3"/>
  <c r="N43" i="3"/>
  <c r="O43" i="3"/>
  <c r="F43" i="3"/>
  <c r="L43" i="3"/>
  <c r="K43" i="3"/>
  <c r="M43" i="3"/>
  <c r="H43" i="3"/>
  <c r="J43" i="3"/>
  <c r="G43" i="3"/>
  <c r="E43" i="3"/>
  <c r="D43" i="3"/>
  <c r="O31" i="7"/>
  <c r="O30" i="3"/>
  <c r="O31" i="6"/>
  <c r="O30" i="4"/>
  <c r="I40" i="4"/>
  <c r="N40" i="4"/>
  <c r="K40" i="4"/>
  <c r="F40" i="4"/>
  <c r="O40" i="4"/>
  <c r="L40" i="4"/>
  <c r="G40" i="4"/>
  <c r="M40" i="4"/>
  <c r="D40" i="4"/>
  <c r="J40" i="4"/>
  <c r="H40" i="4"/>
  <c r="E40" i="4"/>
  <c r="H37" i="4"/>
  <c r="O37" i="4"/>
  <c r="D37" i="4"/>
  <c r="M37" i="4"/>
  <c r="G37" i="4"/>
  <c r="N37" i="4"/>
  <c r="J37" i="4"/>
  <c r="L37" i="4"/>
  <c r="K37" i="4"/>
  <c r="E37" i="4"/>
  <c r="F37" i="4"/>
  <c r="I37" i="4"/>
  <c r="G45" i="4"/>
  <c r="H45" i="4"/>
  <c r="N45" i="4"/>
  <c r="O45" i="4"/>
  <c r="L45" i="4"/>
  <c r="I45" i="4"/>
  <c r="E45" i="4"/>
  <c r="D45" i="4"/>
  <c r="K45" i="4"/>
  <c r="M45" i="4"/>
  <c r="F45" i="4"/>
  <c r="J45" i="4"/>
  <c r="M26" i="4"/>
  <c r="M27" i="6"/>
  <c r="M26" i="3"/>
  <c r="M27" i="7"/>
  <c r="D25" i="9"/>
  <c r="J31" i="9" s="1"/>
  <c r="D22" i="4"/>
  <c r="D23" i="6"/>
  <c r="D23" i="5"/>
  <c r="D23" i="7"/>
  <c r="D22" i="3"/>
  <c r="D19" i="2"/>
  <c r="D28" i="9"/>
  <c r="J34" i="9" s="1"/>
  <c r="D26" i="6"/>
  <c r="D26" i="5"/>
  <c r="D25" i="4"/>
  <c r="D26" i="7"/>
  <c r="D25" i="3"/>
  <c r="D22" i="2"/>
  <c r="G23" i="9"/>
  <c r="M29" i="9" s="1"/>
  <c r="G21" i="7"/>
  <c r="G21" i="6"/>
  <c r="G20" i="4"/>
  <c r="G21" i="5"/>
  <c r="G20" i="3"/>
  <c r="G17" i="2"/>
  <c r="E27" i="9"/>
  <c r="K33" i="9" s="1"/>
  <c r="E25" i="7"/>
  <c r="E25" i="5"/>
  <c r="E25" i="6"/>
  <c r="E24" i="4"/>
  <c r="E24" i="3"/>
  <c r="E21" i="2"/>
  <c r="A51" i="9" a="1"/>
  <c r="I24" i="9"/>
  <c r="O30" i="9" s="1"/>
  <c r="I22" i="7"/>
  <c r="I22" i="6"/>
  <c r="I21" i="4"/>
  <c r="I22" i="5"/>
  <c r="I18" i="2"/>
  <c r="I21" i="3"/>
  <c r="K41" i="3"/>
  <c r="L41" i="3"/>
  <c r="J41" i="3"/>
  <c r="G41" i="3"/>
  <c r="F41" i="3"/>
  <c r="M41" i="3"/>
  <c r="O41" i="3"/>
  <c r="N41" i="3"/>
  <c r="H41" i="3"/>
  <c r="I41" i="3"/>
  <c r="E41" i="3"/>
  <c r="D41" i="3"/>
  <c r="I26" i="9"/>
  <c r="O32" i="9" s="1"/>
  <c r="I24" i="7"/>
  <c r="I24" i="5"/>
  <c r="I20" i="2"/>
  <c r="I23" i="3"/>
  <c r="I24" i="6"/>
  <c r="I23" i="4"/>
  <c r="F46" i="4"/>
  <c r="D46" i="4"/>
  <c r="J46" i="4"/>
  <c r="K46" i="4"/>
  <c r="H46" i="4"/>
  <c r="N46" i="4"/>
  <c r="L46" i="4"/>
  <c r="G46" i="4"/>
  <c r="I46" i="4"/>
  <c r="O46" i="4"/>
  <c r="E46" i="4"/>
  <c r="M46" i="4"/>
  <c r="D24" i="4"/>
  <c r="D27" i="9"/>
  <c r="J33" i="9" s="1"/>
  <c r="D25" i="7"/>
  <c r="D25" i="5"/>
  <c r="D25" i="6"/>
  <c r="D24" i="3"/>
  <c r="D21" i="2"/>
  <c r="I23" i="7"/>
  <c r="I25" i="9"/>
  <c r="O31" i="9" s="1"/>
  <c r="I23" i="5"/>
  <c r="I22" i="4"/>
  <c r="I23" i="6"/>
  <c r="I22" i="3"/>
  <c r="I19" i="2"/>
  <c r="O30" i="7"/>
  <c r="O30" i="6"/>
  <c r="O29" i="4"/>
  <c r="O29" i="3"/>
  <c r="F44" i="4"/>
  <c r="K44" i="4"/>
  <c r="D44" i="4"/>
  <c r="H44" i="4"/>
  <c r="I44" i="4"/>
  <c r="L44" i="4"/>
  <c r="E44" i="4"/>
  <c r="J44" i="4"/>
  <c r="G44" i="4"/>
  <c r="N44" i="4"/>
  <c r="M44" i="4"/>
  <c r="O44" i="4"/>
  <c r="M47" i="4"/>
  <c r="E47" i="4"/>
  <c r="I47" i="4"/>
  <c r="K47" i="4"/>
  <c r="N47" i="4"/>
  <c r="D47" i="4"/>
  <c r="J47" i="4"/>
  <c r="L47" i="4"/>
  <c r="F47" i="4"/>
  <c r="O47" i="4"/>
  <c r="H47" i="4"/>
  <c r="G47" i="4"/>
  <c r="F39" i="4"/>
  <c r="K39" i="4"/>
  <c r="E39" i="4"/>
  <c r="N39" i="4"/>
  <c r="D39" i="4"/>
  <c r="H39" i="4"/>
  <c r="J39" i="4"/>
  <c r="M39" i="4"/>
  <c r="O39" i="4"/>
  <c r="L39" i="4"/>
  <c r="G39" i="4"/>
  <c r="I39" i="4"/>
  <c r="M27" i="4"/>
  <c r="M28" i="6"/>
  <c r="M27" i="3"/>
  <c r="M28" i="7"/>
  <c r="D24" i="9"/>
  <c r="J30" i="9" s="1"/>
  <c r="D22" i="6"/>
  <c r="D22" i="5"/>
  <c r="D21" i="4"/>
  <c r="D22" i="7"/>
  <c r="D21" i="3"/>
  <c r="D18" i="2"/>
  <c r="G22" i="7"/>
  <c r="G24" i="9"/>
  <c r="M30" i="9" s="1"/>
  <c r="G22" i="5"/>
  <c r="G21" i="4"/>
  <c r="G21" i="3"/>
  <c r="G18" i="2"/>
  <c r="G22" i="6"/>
  <c r="E23" i="9"/>
  <c r="K29" i="9" s="1"/>
  <c r="E21" i="7"/>
  <c r="E21" i="6"/>
  <c r="E21" i="5"/>
  <c r="E20" i="4"/>
  <c r="E20" i="3"/>
  <c r="E17" i="2"/>
  <c r="I27" i="9"/>
  <c r="O33" i="9" s="1"/>
  <c r="I25" i="7"/>
  <c r="I25" i="5"/>
  <c r="I25" i="6"/>
  <c r="I24" i="4"/>
  <c r="I24" i="3"/>
  <c r="I21" i="2"/>
  <c r="K45" i="3"/>
  <c r="D45" i="3"/>
  <c r="J45" i="3"/>
  <c r="M45" i="3"/>
  <c r="F45" i="3"/>
  <c r="G45" i="3"/>
  <c r="I45" i="3"/>
  <c r="L45" i="3"/>
  <c r="E45" i="3"/>
  <c r="O45" i="3"/>
  <c r="H45" i="3"/>
  <c r="N45" i="3"/>
  <c r="O28" i="7"/>
  <c r="O28" i="6"/>
  <c r="O27" i="4"/>
  <c r="O27" i="3"/>
  <c r="M31" i="7"/>
  <c r="M31" i="6"/>
  <c r="M30" i="4"/>
  <c r="M30" i="3"/>
  <c r="I47" i="3"/>
  <c r="D47" i="3"/>
  <c r="K47" i="3"/>
  <c r="E47" i="3"/>
  <c r="J47" i="3"/>
  <c r="L47" i="3"/>
  <c r="M47" i="3"/>
  <c r="O47" i="3"/>
  <c r="G47" i="3"/>
  <c r="H47" i="3"/>
  <c r="N47" i="3"/>
  <c r="F47" i="3"/>
  <c r="H44" i="3"/>
  <c r="M44" i="3"/>
  <c r="K44" i="3"/>
  <c r="E44" i="3"/>
  <c r="J44" i="3"/>
  <c r="I44" i="3"/>
  <c r="F44" i="3"/>
  <c r="O44" i="3"/>
  <c r="D44" i="3"/>
  <c r="N44" i="3"/>
  <c r="L44" i="3"/>
  <c r="G44" i="3"/>
  <c r="I39" i="3"/>
  <c r="N39" i="3"/>
  <c r="L39" i="3"/>
  <c r="F39" i="3"/>
  <c r="K39" i="3"/>
  <c r="O39" i="3"/>
  <c r="H39" i="3"/>
  <c r="E39" i="3"/>
  <c r="D39" i="3"/>
  <c r="M39" i="3"/>
  <c r="J39" i="3"/>
  <c r="G39" i="3"/>
  <c r="J42" i="3"/>
  <c r="O42" i="3"/>
  <c r="E42" i="3"/>
  <c r="G42" i="3"/>
  <c r="L42" i="3"/>
  <c r="K42" i="3"/>
  <c r="M42" i="3"/>
  <c r="N42" i="3"/>
  <c r="I42" i="3"/>
  <c r="D42" i="3"/>
  <c r="F42" i="3"/>
  <c r="H42" i="3"/>
  <c r="H40" i="3"/>
  <c r="M40" i="3"/>
  <c r="G40" i="3"/>
  <c r="L40" i="3"/>
  <c r="F40" i="3"/>
  <c r="E40" i="3"/>
  <c r="N40" i="3"/>
  <c r="K40" i="3"/>
  <c r="O40" i="3"/>
  <c r="D40" i="3"/>
  <c r="J40" i="3"/>
  <c r="I40" i="3"/>
  <c r="J38" i="3"/>
  <c r="O38" i="3"/>
  <c r="I38" i="3"/>
  <c r="G38" i="3"/>
  <c r="N38" i="3"/>
  <c r="H38" i="3"/>
  <c r="K38" i="3"/>
  <c r="D38" i="3"/>
  <c r="F38" i="3"/>
  <c r="E38" i="3"/>
  <c r="M38" i="3"/>
  <c r="L38" i="3"/>
  <c r="G28" i="9"/>
  <c r="M34" i="9" s="1"/>
  <c r="G26" i="7"/>
  <c r="G26" i="6"/>
  <c r="G25" i="4"/>
  <c r="G25" i="3"/>
  <c r="G22" i="2"/>
  <c r="G26" i="5"/>
  <c r="O27" i="7"/>
  <c r="O27" i="6"/>
  <c r="O26" i="4"/>
  <c r="O26" i="3"/>
  <c r="O29" i="7"/>
  <c r="O29" i="6"/>
  <c r="O28" i="4"/>
  <c r="O28" i="3"/>
  <c r="K42" i="4"/>
  <c r="O42" i="4"/>
  <c r="J42" i="4"/>
  <c r="I42" i="4"/>
  <c r="L42" i="4"/>
  <c r="H42" i="4"/>
  <c r="D42" i="4"/>
  <c r="E42" i="4"/>
  <c r="F42" i="4"/>
  <c r="G42" i="4"/>
  <c r="N42" i="4"/>
  <c r="M42" i="4"/>
  <c r="J43" i="4"/>
  <c r="I43" i="4"/>
  <c r="H43" i="4"/>
  <c r="K43" i="4"/>
  <c r="L43" i="4"/>
  <c r="N43" i="4"/>
  <c r="D43" i="4"/>
  <c r="F43" i="4"/>
  <c r="E43" i="4"/>
  <c r="O43" i="4"/>
  <c r="M43" i="4"/>
  <c r="G43" i="4"/>
  <c r="D41" i="4"/>
  <c r="I41" i="4"/>
  <c r="F41" i="4"/>
  <c r="L41" i="4"/>
  <c r="J41" i="4"/>
  <c r="G41" i="4"/>
  <c r="M41" i="4"/>
  <c r="H41" i="4"/>
  <c r="N41" i="4"/>
  <c r="E41" i="4"/>
  <c r="O41" i="4"/>
  <c r="K41" i="4"/>
  <c r="M32" i="7"/>
  <c r="M32" i="6"/>
  <c r="M31" i="4"/>
  <c r="M31" i="3"/>
  <c r="M29" i="7"/>
  <c r="M29" i="6"/>
  <c r="M28" i="3"/>
  <c r="M28" i="4"/>
  <c r="D26" i="9"/>
  <c r="J32" i="9" s="1"/>
  <c r="D24" i="6"/>
  <c r="D24" i="5"/>
  <c r="D23" i="3"/>
  <c r="D20" i="2"/>
  <c r="D23" i="4"/>
  <c r="D24" i="7"/>
  <c r="G27" i="9"/>
  <c r="M33" i="9" s="1"/>
  <c r="G25" i="5"/>
  <c r="G25" i="7"/>
  <c r="G25" i="6"/>
  <c r="G24" i="4"/>
  <c r="G24" i="3"/>
  <c r="G21" i="2"/>
  <c r="E28" i="9"/>
  <c r="K34" i="9" s="1"/>
  <c r="E26" i="5"/>
  <c r="E26" i="7"/>
  <c r="E25" i="4"/>
  <c r="E26" i="6"/>
  <c r="E22" i="2"/>
  <c r="E25" i="3"/>
  <c r="N45" i="5"/>
  <c r="U45" i="5"/>
  <c r="I45" i="5"/>
  <c r="S45" i="5"/>
  <c r="A56" i="7" l="1"/>
  <c r="O56" i="7" s="1"/>
  <c r="A44" i="7"/>
  <c r="K44" i="7" s="1"/>
  <c r="A47" i="7"/>
  <c r="R47" i="7" s="1"/>
  <c r="A48" i="7"/>
  <c r="I48" i="7" s="1"/>
  <c r="K45" i="5"/>
  <c r="R45" i="5"/>
  <c r="D45" i="5"/>
  <c r="L45" i="5"/>
  <c r="J45" i="5"/>
  <c r="H45" i="5"/>
  <c r="E45" i="5"/>
  <c r="Q45" i="5"/>
  <c r="O45" i="5"/>
  <c r="L48" i="7"/>
  <c r="O47" i="7"/>
  <c r="A43" i="7"/>
  <c r="A54" i="7"/>
  <c r="A45" i="7"/>
  <c r="K45" i="7" s="1"/>
  <c r="A46" i="7"/>
  <c r="Q46" i="7" s="1"/>
  <c r="I60" i="7"/>
  <c r="T60" i="7"/>
  <c r="Q60" i="7"/>
  <c r="U60" i="7"/>
  <c r="N60" i="7"/>
  <c r="P60" i="7"/>
  <c r="R60" i="7"/>
  <c r="H60" i="7"/>
  <c r="E60" i="7"/>
  <c r="K60" i="7"/>
  <c r="D60" i="7"/>
  <c r="L60" i="7"/>
  <c r="G60" i="7"/>
  <c r="J60" i="7"/>
  <c r="S60" i="7"/>
  <c r="O60" i="7"/>
  <c r="M60" i="7"/>
  <c r="F60" i="7"/>
  <c r="I47" i="7"/>
  <c r="K47" i="7"/>
  <c r="J48" i="7"/>
  <c r="F47" i="7"/>
  <c r="M47" i="7"/>
  <c r="N47" i="7"/>
  <c r="E47" i="7"/>
  <c r="Q47" i="7"/>
  <c r="A49" i="7"/>
  <c r="A58" i="7"/>
  <c r="M58" i="7" s="1"/>
  <c r="A53" i="7"/>
  <c r="A57" i="7"/>
  <c r="A52" i="7"/>
  <c r="G45" i="7"/>
  <c r="E45" i="7"/>
  <c r="N46" i="7"/>
  <c r="S47" i="7"/>
  <c r="D47" i="7"/>
  <c r="J47" i="7"/>
  <c r="P47" i="7"/>
  <c r="A55" i="7"/>
  <c r="A59" i="7"/>
  <c r="A50" i="7"/>
  <c r="A51" i="7"/>
  <c r="H47" i="7"/>
  <c r="U47" i="7"/>
  <c r="L47" i="7"/>
  <c r="T47" i="7"/>
  <c r="G47" i="7"/>
  <c r="A54" i="6"/>
  <c r="A47" i="6"/>
  <c r="A58" i="6"/>
  <c r="A49" i="6"/>
  <c r="A60" i="6"/>
  <c r="A48" i="6"/>
  <c r="A52" i="6"/>
  <c r="A43" i="6"/>
  <c r="A53" i="6"/>
  <c r="A50" i="6"/>
  <c r="A44" i="6"/>
  <c r="A45" i="6"/>
  <c r="A57" i="6"/>
  <c r="A51" i="6"/>
  <c r="A56" i="6"/>
  <c r="A55" i="6"/>
  <c r="A59" i="6"/>
  <c r="A46" i="6"/>
  <c r="A47" i="5"/>
  <c r="M47" i="5" s="1"/>
  <c r="A57" i="5"/>
  <c r="U57" i="5" s="1"/>
  <c r="A46" i="5"/>
  <c r="P46" i="5" s="1"/>
  <c r="A49" i="5"/>
  <c r="T49" i="5" s="1"/>
  <c r="G45" i="5"/>
  <c r="T45" i="5"/>
  <c r="P45" i="5"/>
  <c r="M45" i="5"/>
  <c r="A56" i="5"/>
  <c r="A48" i="5"/>
  <c r="K48" i="5" s="1"/>
  <c r="A52" i="5"/>
  <c r="L52" i="5" s="1"/>
  <c r="A44" i="5"/>
  <c r="T44" i="5" s="1"/>
  <c r="A59" i="5"/>
  <c r="E59" i="5" s="1"/>
  <c r="A55" i="5"/>
  <c r="A60" i="5"/>
  <c r="A50" i="5"/>
  <c r="A51" i="5"/>
  <c r="A54" i="5"/>
  <c r="I54" i="5" s="1"/>
  <c r="A53" i="5"/>
  <c r="A58" i="5"/>
  <c r="A43" i="5"/>
  <c r="Q57" i="5"/>
  <c r="J57" i="5"/>
  <c r="I49" i="5"/>
  <c r="K47" i="5"/>
  <c r="F47" i="5"/>
  <c r="I57" i="5"/>
  <c r="S57" i="5"/>
  <c r="K57" i="5"/>
  <c r="O47" i="5"/>
  <c r="E48" i="5"/>
  <c r="R47" i="5"/>
  <c r="A51" i="9"/>
  <c r="A55" i="9"/>
  <c r="A59" i="9"/>
  <c r="A63" i="9"/>
  <c r="A67" i="9"/>
  <c r="A71" i="9"/>
  <c r="A52" i="9"/>
  <c r="A56" i="9"/>
  <c r="A60" i="9"/>
  <c r="A53" i="9"/>
  <c r="A57" i="9"/>
  <c r="A61" i="9"/>
  <c r="A65" i="9"/>
  <c r="A69" i="9"/>
  <c r="A73" i="9"/>
  <c r="A66" i="9"/>
  <c r="A74" i="9"/>
  <c r="A72" i="9"/>
  <c r="A54" i="9"/>
  <c r="A68" i="9"/>
  <c r="A58" i="9"/>
  <c r="A70" i="9"/>
  <c r="A62" i="9"/>
  <c r="A64" i="9"/>
  <c r="C50" i="3"/>
  <c r="D25" i="2" a="1"/>
  <c r="C50" i="4"/>
  <c r="H56" i="7" l="1"/>
  <c r="I46" i="7"/>
  <c r="Q44" i="7"/>
  <c r="U45" i="7"/>
  <c r="O57" i="5"/>
  <c r="L57" i="5"/>
  <c r="M57" i="5"/>
  <c r="R57" i="5"/>
  <c r="G57" i="5"/>
  <c r="D57" i="5"/>
  <c r="E57" i="5"/>
  <c r="N57" i="5"/>
  <c r="Q46" i="5"/>
  <c r="P57" i="5"/>
  <c r="S44" i="7"/>
  <c r="N44" i="7"/>
  <c r="P44" i="7"/>
  <c r="H44" i="7"/>
  <c r="D58" i="7"/>
  <c r="P45" i="7"/>
  <c r="G48" i="7"/>
  <c r="R45" i="7"/>
  <c r="F45" i="7"/>
  <c r="D45" i="7"/>
  <c r="G44" i="7"/>
  <c r="U44" i="7"/>
  <c r="L44" i="7"/>
  <c r="E44" i="7"/>
  <c r="J56" i="7"/>
  <c r="I56" i="7"/>
  <c r="U56" i="7"/>
  <c r="K56" i="7"/>
  <c r="S56" i="7"/>
  <c r="T56" i="7"/>
  <c r="L56" i="7"/>
  <c r="Q56" i="7"/>
  <c r="E56" i="7"/>
  <c r="M56" i="7"/>
  <c r="R56" i="7"/>
  <c r="D56" i="7"/>
  <c r="N56" i="7"/>
  <c r="P56" i="7"/>
  <c r="G56" i="7"/>
  <c r="R58" i="7"/>
  <c r="Q45" i="7"/>
  <c r="F44" i="7"/>
  <c r="S48" i="7"/>
  <c r="I45" i="7"/>
  <c r="J45" i="7"/>
  <c r="M48" i="7"/>
  <c r="I44" i="7"/>
  <c r="O44" i="7"/>
  <c r="D44" i="7"/>
  <c r="R44" i="7"/>
  <c r="M44" i="7"/>
  <c r="E48" i="7"/>
  <c r="T45" i="7"/>
  <c r="T44" i="7"/>
  <c r="S45" i="7"/>
  <c r="O48" i="7"/>
  <c r="F56" i="7"/>
  <c r="J44" i="7"/>
  <c r="R48" i="7"/>
  <c r="T48" i="7"/>
  <c r="D48" i="7"/>
  <c r="Q48" i="7"/>
  <c r="K48" i="7"/>
  <c r="N48" i="7"/>
  <c r="U48" i="7"/>
  <c r="P48" i="7"/>
  <c r="H48" i="7"/>
  <c r="F48" i="7"/>
  <c r="E47" i="5"/>
  <c r="G47" i="5"/>
  <c r="J47" i="5"/>
  <c r="P47" i="5"/>
  <c r="I47" i="5"/>
  <c r="L47" i="5"/>
  <c r="U47" i="5"/>
  <c r="H47" i="5"/>
  <c r="S47" i="5"/>
  <c r="D47" i="5"/>
  <c r="U46" i="7"/>
  <c r="D46" i="7"/>
  <c r="M46" i="7"/>
  <c r="E46" i="7"/>
  <c r="G46" i="7"/>
  <c r="O46" i="7"/>
  <c r="J46" i="7"/>
  <c r="L46" i="7"/>
  <c r="R46" i="7"/>
  <c r="L45" i="7"/>
  <c r="H45" i="7"/>
  <c r="O45" i="7"/>
  <c r="M45" i="7"/>
  <c r="N45" i="7"/>
  <c r="F46" i="7"/>
  <c r="S46" i="7"/>
  <c r="H46" i="7"/>
  <c r="D54" i="7"/>
  <c r="T54" i="7"/>
  <c r="O54" i="7"/>
  <c r="E54" i="7"/>
  <c r="K54" i="7"/>
  <c r="J54" i="7"/>
  <c r="M54" i="7"/>
  <c r="Q54" i="7"/>
  <c r="N54" i="7"/>
  <c r="R54" i="7"/>
  <c r="S54" i="7"/>
  <c r="F54" i="7"/>
  <c r="H54" i="7"/>
  <c r="U54" i="7"/>
  <c r="L54" i="7"/>
  <c r="I54" i="7"/>
  <c r="G54" i="7"/>
  <c r="P54" i="7"/>
  <c r="K46" i="7"/>
  <c r="P46" i="7"/>
  <c r="T46" i="7"/>
  <c r="K43" i="7"/>
  <c r="G43" i="7"/>
  <c r="H43" i="7"/>
  <c r="P43" i="7"/>
  <c r="D43" i="7"/>
  <c r="Q43" i="7"/>
  <c r="M43" i="7"/>
  <c r="S43" i="7"/>
  <c r="E43" i="7"/>
  <c r="U43" i="7"/>
  <c r="T43" i="7"/>
  <c r="F43" i="7"/>
  <c r="N43" i="7"/>
  <c r="R43" i="7"/>
  <c r="J43" i="7"/>
  <c r="I43" i="7"/>
  <c r="L43" i="7"/>
  <c r="O43" i="7"/>
  <c r="P59" i="7"/>
  <c r="J59" i="7"/>
  <c r="E59" i="7"/>
  <c r="M59" i="7"/>
  <c r="U59" i="7"/>
  <c r="D59" i="7"/>
  <c r="I59" i="7"/>
  <c r="O59" i="7"/>
  <c r="S59" i="7"/>
  <c r="L59" i="7"/>
  <c r="K59" i="7"/>
  <c r="Q59" i="7"/>
  <c r="G59" i="7"/>
  <c r="F59" i="7"/>
  <c r="H59" i="7"/>
  <c r="T59" i="7"/>
  <c r="N59" i="7"/>
  <c r="R59" i="7"/>
  <c r="M53" i="7"/>
  <c r="I53" i="7"/>
  <c r="F53" i="7"/>
  <c r="H53" i="7"/>
  <c r="E53" i="7"/>
  <c r="G53" i="7"/>
  <c r="J53" i="7"/>
  <c r="N53" i="7"/>
  <c r="L53" i="7"/>
  <c r="T53" i="7"/>
  <c r="R53" i="7"/>
  <c r="U53" i="7"/>
  <c r="D53" i="7"/>
  <c r="Q53" i="7"/>
  <c r="P53" i="7"/>
  <c r="K53" i="7"/>
  <c r="S53" i="7"/>
  <c r="O53" i="7"/>
  <c r="G51" i="7"/>
  <c r="J51" i="7"/>
  <c r="N51" i="7"/>
  <c r="L51" i="7"/>
  <c r="S51" i="7"/>
  <c r="T51" i="7"/>
  <c r="H51" i="7"/>
  <c r="R51" i="7"/>
  <c r="K51" i="7"/>
  <c r="M51" i="7"/>
  <c r="D51" i="7"/>
  <c r="I51" i="7"/>
  <c r="E51" i="7"/>
  <c r="Q51" i="7"/>
  <c r="P51" i="7"/>
  <c r="F51" i="7"/>
  <c r="U51" i="7"/>
  <c r="O51" i="7"/>
  <c r="S52" i="7"/>
  <c r="K52" i="7"/>
  <c r="J52" i="7"/>
  <c r="P52" i="7"/>
  <c r="U52" i="7"/>
  <c r="E52" i="7"/>
  <c r="G52" i="7"/>
  <c r="M52" i="7"/>
  <c r="T52" i="7"/>
  <c r="L52" i="7"/>
  <c r="R52" i="7"/>
  <c r="I52" i="7"/>
  <c r="N52" i="7"/>
  <c r="Q52" i="7"/>
  <c r="F52" i="7"/>
  <c r="D52" i="7"/>
  <c r="O52" i="7"/>
  <c r="H52" i="7"/>
  <c r="D49" i="7"/>
  <c r="L49" i="7"/>
  <c r="S49" i="7"/>
  <c r="P49" i="7"/>
  <c r="T49" i="7"/>
  <c r="H49" i="7"/>
  <c r="K49" i="7"/>
  <c r="O49" i="7"/>
  <c r="U49" i="7"/>
  <c r="E49" i="7"/>
  <c r="Q49" i="7"/>
  <c r="F49" i="7"/>
  <c r="G49" i="7"/>
  <c r="M49" i="7"/>
  <c r="R49" i="7"/>
  <c r="I49" i="7"/>
  <c r="N49" i="7"/>
  <c r="J49" i="7"/>
  <c r="U50" i="7"/>
  <c r="P50" i="7"/>
  <c r="D50" i="7"/>
  <c r="Q50" i="7"/>
  <c r="L50" i="7"/>
  <c r="G50" i="7"/>
  <c r="E50" i="7"/>
  <c r="I50" i="7"/>
  <c r="K50" i="7"/>
  <c r="R50" i="7"/>
  <c r="H50" i="7"/>
  <c r="S50" i="7"/>
  <c r="O50" i="7"/>
  <c r="F50" i="7"/>
  <c r="M50" i="7"/>
  <c r="T50" i="7"/>
  <c r="N50" i="7"/>
  <c r="J50" i="7"/>
  <c r="H57" i="7"/>
  <c r="M57" i="7"/>
  <c r="F57" i="7"/>
  <c r="G57" i="7"/>
  <c r="R57" i="7"/>
  <c r="T57" i="7"/>
  <c r="J57" i="7"/>
  <c r="S57" i="7"/>
  <c r="I57" i="7"/>
  <c r="Q57" i="7"/>
  <c r="D57" i="7"/>
  <c r="L57" i="7"/>
  <c r="O57" i="7"/>
  <c r="P57" i="7"/>
  <c r="K57" i="7"/>
  <c r="E57" i="7"/>
  <c r="U57" i="7"/>
  <c r="N57" i="7"/>
  <c r="N55" i="7"/>
  <c r="J55" i="7"/>
  <c r="U55" i="7"/>
  <c r="H55" i="7"/>
  <c r="K55" i="7"/>
  <c r="F55" i="7"/>
  <c r="M55" i="7"/>
  <c r="T55" i="7"/>
  <c r="R55" i="7"/>
  <c r="L55" i="7"/>
  <c r="G55" i="7"/>
  <c r="S55" i="7"/>
  <c r="D55" i="7"/>
  <c r="O55" i="7"/>
  <c r="E55" i="7"/>
  <c r="Q55" i="7"/>
  <c r="I55" i="7"/>
  <c r="P55" i="7"/>
  <c r="K58" i="7"/>
  <c r="J58" i="7"/>
  <c r="P58" i="7"/>
  <c r="O58" i="7"/>
  <c r="T58" i="7"/>
  <c r="E58" i="7"/>
  <c r="F58" i="7"/>
  <c r="S58" i="7"/>
  <c r="U58" i="7"/>
  <c r="H58" i="7"/>
  <c r="G58" i="7"/>
  <c r="Q58" i="7"/>
  <c r="L58" i="7"/>
  <c r="I58" i="7"/>
  <c r="N58" i="7"/>
  <c r="S51" i="6"/>
  <c r="K51" i="6"/>
  <c r="E51" i="6"/>
  <c r="N51" i="6"/>
  <c r="J51" i="6"/>
  <c r="T51" i="6"/>
  <c r="P51" i="6"/>
  <c r="I51" i="6"/>
  <c r="Q51" i="6"/>
  <c r="R51" i="6"/>
  <c r="D51" i="6"/>
  <c r="U51" i="6"/>
  <c r="G51" i="6"/>
  <c r="M51" i="6"/>
  <c r="L51" i="6"/>
  <c r="O51" i="6"/>
  <c r="H51" i="6"/>
  <c r="F51" i="6"/>
  <c r="O48" i="6"/>
  <c r="U48" i="6"/>
  <c r="M48" i="6"/>
  <c r="J48" i="6"/>
  <c r="F48" i="6"/>
  <c r="P48" i="6"/>
  <c r="T48" i="6"/>
  <c r="K48" i="6"/>
  <c r="N48" i="6"/>
  <c r="G48" i="6"/>
  <c r="H48" i="6"/>
  <c r="D48" i="6"/>
  <c r="L48" i="6"/>
  <c r="R48" i="6"/>
  <c r="S48" i="6"/>
  <c r="Q48" i="6"/>
  <c r="I48" i="6"/>
  <c r="E48" i="6"/>
  <c r="P57" i="6"/>
  <c r="L57" i="6"/>
  <c r="N57" i="6"/>
  <c r="K57" i="6"/>
  <c r="I57" i="6"/>
  <c r="S57" i="6"/>
  <c r="G57" i="6"/>
  <c r="O57" i="6"/>
  <c r="Q57" i="6"/>
  <c r="F57" i="6"/>
  <c r="T57" i="6"/>
  <c r="D57" i="6"/>
  <c r="H57" i="6"/>
  <c r="J57" i="6"/>
  <c r="M57" i="6"/>
  <c r="E57" i="6"/>
  <c r="R57" i="6"/>
  <c r="U57" i="6"/>
  <c r="E60" i="6"/>
  <c r="D60" i="6"/>
  <c r="L60" i="6"/>
  <c r="Q60" i="6"/>
  <c r="K60" i="6"/>
  <c r="U60" i="6"/>
  <c r="I60" i="6"/>
  <c r="M60" i="6"/>
  <c r="F60" i="6"/>
  <c r="O60" i="6"/>
  <c r="S60" i="6"/>
  <c r="G60" i="6"/>
  <c r="N60" i="6"/>
  <c r="P60" i="6"/>
  <c r="H60" i="6"/>
  <c r="T60" i="6"/>
  <c r="R60" i="6"/>
  <c r="J60" i="6"/>
  <c r="H55" i="6"/>
  <c r="O55" i="6"/>
  <c r="T55" i="6"/>
  <c r="U55" i="6"/>
  <c r="I55" i="6"/>
  <c r="J55" i="6"/>
  <c r="P55" i="6"/>
  <c r="M55" i="6"/>
  <c r="G55" i="6"/>
  <c r="N55" i="6"/>
  <c r="L55" i="6"/>
  <c r="K55" i="6"/>
  <c r="S55" i="6"/>
  <c r="F55" i="6"/>
  <c r="E55" i="6"/>
  <c r="D55" i="6"/>
  <c r="Q55" i="6"/>
  <c r="R55" i="6"/>
  <c r="R45" i="6"/>
  <c r="L45" i="6"/>
  <c r="N45" i="6"/>
  <c r="D45" i="6"/>
  <c r="T45" i="6"/>
  <c r="G45" i="6"/>
  <c r="F45" i="6"/>
  <c r="J45" i="6"/>
  <c r="S45" i="6"/>
  <c r="Q45" i="6"/>
  <c r="H45" i="6"/>
  <c r="U45" i="6"/>
  <c r="I45" i="6"/>
  <c r="K45" i="6"/>
  <c r="O45" i="6"/>
  <c r="P45" i="6"/>
  <c r="M45" i="6"/>
  <c r="E45" i="6"/>
  <c r="J43" i="6"/>
  <c r="M43" i="6"/>
  <c r="R43" i="6"/>
  <c r="K43" i="6"/>
  <c r="U43" i="6"/>
  <c r="I43" i="6"/>
  <c r="N43" i="6"/>
  <c r="H43" i="6"/>
  <c r="G43" i="6"/>
  <c r="F43" i="6"/>
  <c r="P43" i="6"/>
  <c r="T43" i="6"/>
  <c r="S43" i="6"/>
  <c r="O43" i="6"/>
  <c r="E43" i="6"/>
  <c r="D43" i="6"/>
  <c r="Q43" i="6"/>
  <c r="L43" i="6"/>
  <c r="T49" i="6"/>
  <c r="F49" i="6"/>
  <c r="J49" i="6"/>
  <c r="P49" i="6"/>
  <c r="R49" i="6"/>
  <c r="G49" i="6"/>
  <c r="L49" i="6"/>
  <c r="Q49" i="6"/>
  <c r="N49" i="6"/>
  <c r="H49" i="6"/>
  <c r="S49" i="6"/>
  <c r="K49" i="6"/>
  <c r="E49" i="6"/>
  <c r="M49" i="6"/>
  <c r="D49" i="6"/>
  <c r="O49" i="6"/>
  <c r="U49" i="6"/>
  <c r="I49" i="6"/>
  <c r="U46" i="6"/>
  <c r="J46" i="6"/>
  <c r="P46" i="6"/>
  <c r="F46" i="6"/>
  <c r="T46" i="6"/>
  <c r="D46" i="6"/>
  <c r="Q46" i="6"/>
  <c r="N46" i="6"/>
  <c r="I46" i="6"/>
  <c r="M46" i="6"/>
  <c r="H46" i="6"/>
  <c r="R46" i="6"/>
  <c r="L46" i="6"/>
  <c r="K46" i="6"/>
  <c r="O46" i="6"/>
  <c r="S46" i="6"/>
  <c r="E46" i="6"/>
  <c r="G46" i="6"/>
  <c r="L50" i="6"/>
  <c r="D50" i="6"/>
  <c r="I50" i="6"/>
  <c r="K50" i="6"/>
  <c r="S50" i="6"/>
  <c r="O50" i="6"/>
  <c r="J50" i="6"/>
  <c r="P50" i="6"/>
  <c r="N50" i="6"/>
  <c r="T50" i="6"/>
  <c r="E50" i="6"/>
  <c r="R50" i="6"/>
  <c r="F50" i="6"/>
  <c r="M50" i="6"/>
  <c r="H50" i="6"/>
  <c r="G50" i="6"/>
  <c r="Q50" i="6"/>
  <c r="U50" i="6"/>
  <c r="K47" i="6"/>
  <c r="O47" i="6"/>
  <c r="J47" i="6"/>
  <c r="E47" i="6"/>
  <c r="H47" i="6"/>
  <c r="U47" i="6"/>
  <c r="D47" i="6"/>
  <c r="L47" i="6"/>
  <c r="I47" i="6"/>
  <c r="G47" i="6"/>
  <c r="T47" i="6"/>
  <c r="M47" i="6"/>
  <c r="R47" i="6"/>
  <c r="P47" i="6"/>
  <c r="S47" i="6"/>
  <c r="F47" i="6"/>
  <c r="Q47" i="6"/>
  <c r="N47" i="6"/>
  <c r="P59" i="6"/>
  <c r="D59" i="6"/>
  <c r="L59" i="6"/>
  <c r="M59" i="6"/>
  <c r="H59" i="6"/>
  <c r="J59" i="6"/>
  <c r="T59" i="6"/>
  <c r="Q59" i="6"/>
  <c r="O59" i="6"/>
  <c r="E59" i="6"/>
  <c r="R59" i="6"/>
  <c r="K59" i="6"/>
  <c r="N59" i="6"/>
  <c r="G59" i="6"/>
  <c r="U59" i="6"/>
  <c r="F59" i="6"/>
  <c r="S59" i="6"/>
  <c r="I59" i="6"/>
  <c r="D53" i="6"/>
  <c r="R53" i="6"/>
  <c r="P53" i="6"/>
  <c r="K53" i="6"/>
  <c r="S53" i="6"/>
  <c r="L53" i="6"/>
  <c r="F53" i="6"/>
  <c r="H53" i="6"/>
  <c r="N53" i="6"/>
  <c r="M53" i="6"/>
  <c r="I53" i="6"/>
  <c r="Q53" i="6"/>
  <c r="E53" i="6"/>
  <c r="O53" i="6"/>
  <c r="T53" i="6"/>
  <c r="G53" i="6"/>
  <c r="U53" i="6"/>
  <c r="J53" i="6"/>
  <c r="K54" i="6"/>
  <c r="N54" i="6"/>
  <c r="F54" i="6"/>
  <c r="I54" i="6"/>
  <c r="D54" i="6"/>
  <c r="M54" i="6"/>
  <c r="O54" i="6"/>
  <c r="E54" i="6"/>
  <c r="G54" i="6"/>
  <c r="H54" i="6"/>
  <c r="U54" i="6"/>
  <c r="T54" i="6"/>
  <c r="Q54" i="6"/>
  <c r="L54" i="6"/>
  <c r="P54" i="6"/>
  <c r="R54" i="6"/>
  <c r="J54" i="6"/>
  <c r="S54" i="6"/>
  <c r="S56" i="6"/>
  <c r="O56" i="6"/>
  <c r="K56" i="6"/>
  <c r="R56" i="6"/>
  <c r="H56" i="6"/>
  <c r="F56" i="6"/>
  <c r="N56" i="6"/>
  <c r="P56" i="6"/>
  <c r="T56" i="6"/>
  <c r="D56" i="6"/>
  <c r="Q56" i="6"/>
  <c r="I56" i="6"/>
  <c r="J56" i="6"/>
  <c r="E56" i="6"/>
  <c r="L56" i="6"/>
  <c r="G56" i="6"/>
  <c r="U56" i="6"/>
  <c r="M56" i="6"/>
  <c r="U44" i="6"/>
  <c r="P44" i="6"/>
  <c r="I44" i="6"/>
  <c r="F44" i="6"/>
  <c r="S44" i="6"/>
  <c r="G44" i="6"/>
  <c r="K44" i="6"/>
  <c r="O44" i="6"/>
  <c r="R44" i="6"/>
  <c r="D44" i="6"/>
  <c r="L44" i="6"/>
  <c r="Q44" i="6"/>
  <c r="J44" i="6"/>
  <c r="N44" i="6"/>
  <c r="T44" i="6"/>
  <c r="H44" i="6"/>
  <c r="M44" i="6"/>
  <c r="E44" i="6"/>
  <c r="P52" i="6"/>
  <c r="H52" i="6"/>
  <c r="L52" i="6"/>
  <c r="U52" i="6"/>
  <c r="D52" i="6"/>
  <c r="M52" i="6"/>
  <c r="I52" i="6"/>
  <c r="Q52" i="6"/>
  <c r="F52" i="6"/>
  <c r="E52" i="6"/>
  <c r="R52" i="6"/>
  <c r="S52" i="6"/>
  <c r="G52" i="6"/>
  <c r="O52" i="6"/>
  <c r="K52" i="6"/>
  <c r="N52" i="6"/>
  <c r="T52" i="6"/>
  <c r="J52" i="6"/>
  <c r="S58" i="6"/>
  <c r="Q58" i="6"/>
  <c r="E58" i="6"/>
  <c r="U58" i="6"/>
  <c r="D58" i="6"/>
  <c r="M58" i="6"/>
  <c r="L58" i="6"/>
  <c r="P58" i="6"/>
  <c r="H58" i="6"/>
  <c r="T58" i="6"/>
  <c r="F58" i="6"/>
  <c r="J58" i="6"/>
  <c r="N58" i="6"/>
  <c r="K58" i="6"/>
  <c r="O58" i="6"/>
  <c r="R58" i="6"/>
  <c r="I58" i="6"/>
  <c r="G58" i="6"/>
  <c r="G54" i="5"/>
  <c r="T52" i="5"/>
  <c r="H52" i="5"/>
  <c r="P49" i="5"/>
  <c r="S52" i="5"/>
  <c r="R49" i="5"/>
  <c r="S49" i="5"/>
  <c r="H49" i="5"/>
  <c r="O49" i="5"/>
  <c r="D46" i="5"/>
  <c r="N49" i="5"/>
  <c r="M49" i="5"/>
  <c r="E49" i="5"/>
  <c r="U49" i="5"/>
  <c r="R46" i="5"/>
  <c r="D49" i="5"/>
  <c r="J49" i="5"/>
  <c r="D59" i="5"/>
  <c r="M46" i="5"/>
  <c r="O59" i="5"/>
  <c r="O46" i="5"/>
  <c r="F57" i="5"/>
  <c r="H57" i="5"/>
  <c r="H46" i="5"/>
  <c r="N46" i="5"/>
  <c r="U46" i="5"/>
  <c r="J46" i="5"/>
  <c r="F46" i="5"/>
  <c r="T57" i="5"/>
  <c r="N47" i="5"/>
  <c r="Q47" i="5"/>
  <c r="T47" i="5"/>
  <c r="T54" i="5"/>
  <c r="P44" i="5"/>
  <c r="I46" i="5"/>
  <c r="S46" i="5"/>
  <c r="E46" i="5"/>
  <c r="M59" i="5"/>
  <c r="T46" i="5"/>
  <c r="K46" i="5"/>
  <c r="O44" i="5"/>
  <c r="L46" i="5"/>
  <c r="G46" i="5"/>
  <c r="O54" i="5"/>
  <c r="T59" i="5"/>
  <c r="P59" i="5"/>
  <c r="Q59" i="5"/>
  <c r="H54" i="5"/>
  <c r="E44" i="5"/>
  <c r="F44" i="5"/>
  <c r="F59" i="5"/>
  <c r="N54" i="5"/>
  <c r="K59" i="5"/>
  <c r="H59" i="5"/>
  <c r="U59" i="5"/>
  <c r="I44" i="5"/>
  <c r="P52" i="5"/>
  <c r="J44" i="5"/>
  <c r="R52" i="5"/>
  <c r="K49" i="5"/>
  <c r="F49" i="5"/>
  <c r="Q54" i="5"/>
  <c r="J59" i="5"/>
  <c r="L59" i="5"/>
  <c r="G49" i="5"/>
  <c r="H44" i="5"/>
  <c r="M52" i="5"/>
  <c r="L49" i="5"/>
  <c r="Q49" i="5"/>
  <c r="E58" i="5"/>
  <c r="N58" i="5"/>
  <c r="J58" i="5"/>
  <c r="R58" i="5"/>
  <c r="L58" i="5"/>
  <c r="S58" i="5"/>
  <c r="I58" i="5"/>
  <c r="M58" i="5"/>
  <c r="G58" i="5"/>
  <c r="Q58" i="5"/>
  <c r="H58" i="5"/>
  <c r="T58" i="5"/>
  <c r="F58" i="5"/>
  <c r="D58" i="5"/>
  <c r="O58" i="5"/>
  <c r="K58" i="5"/>
  <c r="U58" i="5"/>
  <c r="P58" i="5"/>
  <c r="U48" i="5"/>
  <c r="M48" i="5"/>
  <c r="T48" i="5"/>
  <c r="N48" i="5"/>
  <c r="J48" i="5"/>
  <c r="I48" i="5"/>
  <c r="H48" i="5"/>
  <c r="F48" i="5"/>
  <c r="O48" i="5"/>
  <c r="S48" i="5"/>
  <c r="F56" i="5"/>
  <c r="O56" i="5"/>
  <c r="L56" i="5"/>
  <c r="R56" i="5"/>
  <c r="J56" i="5"/>
  <c r="N56" i="5"/>
  <c r="E56" i="5"/>
  <c r="I56" i="5"/>
  <c r="G56" i="5"/>
  <c r="K56" i="5"/>
  <c r="D56" i="5"/>
  <c r="Q56" i="5"/>
  <c r="P56" i="5"/>
  <c r="U56" i="5"/>
  <c r="S56" i="5"/>
  <c r="H56" i="5"/>
  <c r="M56" i="5"/>
  <c r="T56" i="5"/>
  <c r="P48" i="5"/>
  <c r="D48" i="5"/>
  <c r="K54" i="5"/>
  <c r="L54" i="5"/>
  <c r="P54" i="5"/>
  <c r="U54" i="5"/>
  <c r="D54" i="5"/>
  <c r="M54" i="5"/>
  <c r="J54" i="5"/>
  <c r="R54" i="5"/>
  <c r="E54" i="5"/>
  <c r="S54" i="5"/>
  <c r="F54" i="5"/>
  <c r="P51" i="5"/>
  <c r="K51" i="5"/>
  <c r="U51" i="5"/>
  <c r="E51" i="5"/>
  <c r="T51" i="5"/>
  <c r="N51" i="5"/>
  <c r="L51" i="5"/>
  <c r="J51" i="5"/>
  <c r="M51" i="5"/>
  <c r="G51" i="5"/>
  <c r="F51" i="5"/>
  <c r="O51" i="5"/>
  <c r="S51" i="5"/>
  <c r="I51" i="5"/>
  <c r="D51" i="5"/>
  <c r="Q51" i="5"/>
  <c r="R51" i="5"/>
  <c r="H51" i="5"/>
  <c r="S59" i="5"/>
  <c r="G59" i="5"/>
  <c r="I59" i="5"/>
  <c r="R59" i="5"/>
  <c r="N59" i="5"/>
  <c r="U44" i="5"/>
  <c r="N44" i="5"/>
  <c r="S44" i="5"/>
  <c r="G44" i="5"/>
  <c r="K44" i="5"/>
  <c r="D44" i="5"/>
  <c r="L44" i="5"/>
  <c r="Q44" i="5"/>
  <c r="M44" i="5"/>
  <c r="R44" i="5"/>
  <c r="N60" i="5"/>
  <c r="D60" i="5"/>
  <c r="L60" i="5"/>
  <c r="J60" i="5"/>
  <c r="G60" i="5"/>
  <c r="Q60" i="5"/>
  <c r="O60" i="5"/>
  <c r="R60" i="5"/>
  <c r="T60" i="5"/>
  <c r="E60" i="5"/>
  <c r="K60" i="5"/>
  <c r="P60" i="5"/>
  <c r="S60" i="5"/>
  <c r="I60" i="5"/>
  <c r="F60" i="5"/>
  <c r="U60" i="5"/>
  <c r="M60" i="5"/>
  <c r="H60" i="5"/>
  <c r="L48" i="5"/>
  <c r="G48" i="5"/>
  <c r="G53" i="5"/>
  <c r="E53" i="5"/>
  <c r="I53" i="5"/>
  <c r="F53" i="5"/>
  <c r="U53" i="5"/>
  <c r="N53" i="5"/>
  <c r="Q53" i="5"/>
  <c r="T53" i="5"/>
  <c r="M53" i="5"/>
  <c r="R53" i="5"/>
  <c r="O53" i="5"/>
  <c r="S53" i="5"/>
  <c r="D53" i="5"/>
  <c r="H53" i="5"/>
  <c r="K53" i="5"/>
  <c r="J53" i="5"/>
  <c r="L53" i="5"/>
  <c r="P53" i="5"/>
  <c r="J55" i="5"/>
  <c r="U55" i="5"/>
  <c r="O55" i="5"/>
  <c r="I55" i="5"/>
  <c r="M55" i="5"/>
  <c r="D55" i="5"/>
  <c r="P55" i="5"/>
  <c r="G55" i="5"/>
  <c r="S55" i="5"/>
  <c r="E55" i="5"/>
  <c r="R55" i="5"/>
  <c r="L55" i="5"/>
  <c r="N55" i="5"/>
  <c r="F55" i="5"/>
  <c r="H55" i="5"/>
  <c r="T55" i="5"/>
  <c r="K55" i="5"/>
  <c r="Q55" i="5"/>
  <c r="R48" i="5"/>
  <c r="Q48" i="5"/>
  <c r="F43" i="5"/>
  <c r="N43" i="5"/>
  <c r="D43" i="5"/>
  <c r="K43" i="5"/>
  <c r="G43" i="5"/>
  <c r="P43" i="5"/>
  <c r="M43" i="5"/>
  <c r="U43" i="5"/>
  <c r="H43" i="5"/>
  <c r="T43" i="5"/>
  <c r="Q43" i="5"/>
  <c r="L43" i="5"/>
  <c r="I43" i="5"/>
  <c r="R43" i="5"/>
  <c r="O43" i="5"/>
  <c r="E43" i="5"/>
  <c r="S43" i="5"/>
  <c r="J43" i="5"/>
  <c r="E50" i="5"/>
  <c r="R50" i="5"/>
  <c r="K50" i="5"/>
  <c r="J50" i="5"/>
  <c r="O50" i="5"/>
  <c r="D50" i="5"/>
  <c r="N50" i="5"/>
  <c r="F50" i="5"/>
  <c r="P50" i="5"/>
  <c r="U50" i="5"/>
  <c r="G50" i="5"/>
  <c r="M50" i="5"/>
  <c r="T50" i="5"/>
  <c r="I50" i="5"/>
  <c r="S50" i="5"/>
  <c r="H50" i="5"/>
  <c r="Q50" i="5"/>
  <c r="L50" i="5"/>
  <c r="G52" i="5"/>
  <c r="E52" i="5"/>
  <c r="J52" i="5"/>
  <c r="N52" i="5"/>
  <c r="Q52" i="5"/>
  <c r="O52" i="5"/>
  <c r="I52" i="5"/>
  <c r="U52" i="5"/>
  <c r="D52" i="5"/>
  <c r="F52" i="5"/>
  <c r="K52" i="5"/>
  <c r="F64" i="9"/>
  <c r="J64" i="9"/>
  <c r="N64" i="9"/>
  <c r="R64" i="9"/>
  <c r="V64" i="9"/>
  <c r="Z64" i="9"/>
  <c r="D64" i="9"/>
  <c r="H64" i="9"/>
  <c r="L64" i="9"/>
  <c r="P64" i="9"/>
  <c r="T64" i="9"/>
  <c r="X64" i="9"/>
  <c r="E64" i="9"/>
  <c r="M64" i="9"/>
  <c r="U64" i="9"/>
  <c r="K64" i="9"/>
  <c r="G64" i="9"/>
  <c r="O64" i="9"/>
  <c r="W64" i="9"/>
  <c r="Q64" i="9"/>
  <c r="S64" i="9"/>
  <c r="I64" i="9"/>
  <c r="Y64" i="9"/>
  <c r="AA64" i="9"/>
  <c r="F68" i="9"/>
  <c r="J68" i="9"/>
  <c r="N68" i="9"/>
  <c r="R68" i="9"/>
  <c r="V68" i="9"/>
  <c r="Z68" i="9"/>
  <c r="D68" i="9"/>
  <c r="H68" i="9"/>
  <c r="L68" i="9"/>
  <c r="P68" i="9"/>
  <c r="T68" i="9"/>
  <c r="X68" i="9"/>
  <c r="I68" i="9"/>
  <c r="Q68" i="9"/>
  <c r="Y68" i="9"/>
  <c r="O68" i="9"/>
  <c r="K68" i="9"/>
  <c r="S68" i="9"/>
  <c r="AA68" i="9"/>
  <c r="M68" i="9"/>
  <c r="U68" i="9"/>
  <c r="G68" i="9"/>
  <c r="E68" i="9"/>
  <c r="W68" i="9"/>
  <c r="D66" i="9"/>
  <c r="H66" i="9"/>
  <c r="L66" i="9"/>
  <c r="P66" i="9"/>
  <c r="T66" i="9"/>
  <c r="X66" i="9"/>
  <c r="F66" i="9"/>
  <c r="J66" i="9"/>
  <c r="N66" i="9"/>
  <c r="R66" i="9"/>
  <c r="V66" i="9"/>
  <c r="Z66" i="9"/>
  <c r="K66" i="9"/>
  <c r="S66" i="9"/>
  <c r="AA66" i="9"/>
  <c r="I66" i="9"/>
  <c r="Y66" i="9"/>
  <c r="E66" i="9"/>
  <c r="M66" i="9"/>
  <c r="U66" i="9"/>
  <c r="O66" i="9"/>
  <c r="Q66" i="9"/>
  <c r="G66" i="9"/>
  <c r="W66" i="9"/>
  <c r="E61" i="9"/>
  <c r="I61" i="9"/>
  <c r="M61" i="9"/>
  <c r="Q61" i="9"/>
  <c r="U61" i="9"/>
  <c r="Y61" i="9"/>
  <c r="F61" i="9"/>
  <c r="J61" i="9"/>
  <c r="N61" i="9"/>
  <c r="R61" i="9"/>
  <c r="V61" i="9"/>
  <c r="Z61" i="9"/>
  <c r="G61" i="9"/>
  <c r="K61" i="9"/>
  <c r="O61" i="9"/>
  <c r="S61" i="9"/>
  <c r="W61" i="9"/>
  <c r="AA61" i="9"/>
  <c r="P61" i="9"/>
  <c r="D61" i="9"/>
  <c r="T61" i="9"/>
  <c r="L61" i="9"/>
  <c r="H61" i="9"/>
  <c r="X61" i="9"/>
  <c r="F56" i="9"/>
  <c r="J56" i="9"/>
  <c r="N56" i="9"/>
  <c r="R56" i="9"/>
  <c r="V56" i="9"/>
  <c r="Z56" i="9"/>
  <c r="G56" i="9"/>
  <c r="K56" i="9"/>
  <c r="O56" i="9"/>
  <c r="S56" i="9"/>
  <c r="W56" i="9"/>
  <c r="AA56" i="9"/>
  <c r="D56" i="9"/>
  <c r="H56" i="9"/>
  <c r="L56" i="9"/>
  <c r="P56" i="9"/>
  <c r="T56" i="9"/>
  <c r="X56" i="9"/>
  <c r="M56" i="9"/>
  <c r="Y56" i="9"/>
  <c r="Q56" i="9"/>
  <c r="E56" i="9"/>
  <c r="U56" i="9"/>
  <c r="I56" i="9"/>
  <c r="G63" i="9"/>
  <c r="K63" i="9"/>
  <c r="O63" i="9"/>
  <c r="S63" i="9"/>
  <c r="W63" i="9"/>
  <c r="AA63" i="9"/>
  <c r="E63" i="9"/>
  <c r="I63" i="9"/>
  <c r="M63" i="9"/>
  <c r="Q63" i="9"/>
  <c r="U63" i="9"/>
  <c r="Y63" i="9"/>
  <c r="F63" i="9"/>
  <c r="N63" i="9"/>
  <c r="V63" i="9"/>
  <c r="L63" i="9"/>
  <c r="H63" i="9"/>
  <c r="P63" i="9"/>
  <c r="X63" i="9"/>
  <c r="Z63" i="9"/>
  <c r="T63" i="9"/>
  <c r="J63" i="9"/>
  <c r="R63" i="9"/>
  <c r="D63" i="9"/>
  <c r="D62" i="9"/>
  <c r="H62" i="9"/>
  <c r="L62" i="9"/>
  <c r="P62" i="9"/>
  <c r="T62" i="9"/>
  <c r="X62" i="9"/>
  <c r="E62" i="9"/>
  <c r="I62" i="9"/>
  <c r="M62" i="9"/>
  <c r="Q62" i="9"/>
  <c r="U62" i="9"/>
  <c r="F62" i="9"/>
  <c r="J62" i="9"/>
  <c r="N62" i="9"/>
  <c r="R62" i="9"/>
  <c r="V62" i="9"/>
  <c r="Z62" i="9"/>
  <c r="G62" i="9"/>
  <c r="W62" i="9"/>
  <c r="S62" i="9"/>
  <c r="K62" i="9"/>
  <c r="Y62" i="9"/>
  <c r="O62" i="9"/>
  <c r="AA62" i="9"/>
  <c r="D54" i="9"/>
  <c r="H54" i="9"/>
  <c r="L54" i="9"/>
  <c r="P54" i="9"/>
  <c r="T54" i="9"/>
  <c r="X54" i="9"/>
  <c r="E54" i="9"/>
  <c r="I54" i="9"/>
  <c r="M54" i="9"/>
  <c r="Q54" i="9"/>
  <c r="U54" i="9"/>
  <c r="Y54" i="9"/>
  <c r="F54" i="9"/>
  <c r="J54" i="9"/>
  <c r="N54" i="9"/>
  <c r="R54" i="9"/>
  <c r="V54" i="9"/>
  <c r="Z54" i="9"/>
  <c r="O54" i="9"/>
  <c r="K54" i="9"/>
  <c r="S54" i="9"/>
  <c r="G54" i="9"/>
  <c r="W54" i="9"/>
  <c r="AA54" i="9"/>
  <c r="E73" i="9"/>
  <c r="I73" i="9"/>
  <c r="M73" i="9"/>
  <c r="Q73" i="9"/>
  <c r="U73" i="9"/>
  <c r="Y73" i="9"/>
  <c r="G73" i="9"/>
  <c r="K73" i="9"/>
  <c r="O73" i="9"/>
  <c r="S73" i="9"/>
  <c r="W73" i="9"/>
  <c r="AA73" i="9"/>
  <c r="D73" i="9"/>
  <c r="L73" i="9"/>
  <c r="T73" i="9"/>
  <c r="H73" i="9"/>
  <c r="X73" i="9"/>
  <c r="Z73" i="9"/>
  <c r="F73" i="9"/>
  <c r="N73" i="9"/>
  <c r="V73" i="9"/>
  <c r="J73" i="9"/>
  <c r="P73" i="9"/>
  <c r="R73" i="9"/>
  <c r="E57" i="9"/>
  <c r="I57" i="9"/>
  <c r="M57" i="9"/>
  <c r="Q57" i="9"/>
  <c r="U57" i="9"/>
  <c r="Y57" i="9"/>
  <c r="F57" i="9"/>
  <c r="J57" i="9"/>
  <c r="N57" i="9"/>
  <c r="R57" i="9"/>
  <c r="V57" i="9"/>
  <c r="Z57" i="9"/>
  <c r="G57" i="9"/>
  <c r="K57" i="9"/>
  <c r="O57" i="9"/>
  <c r="S57" i="9"/>
  <c r="W57" i="9"/>
  <c r="AA57" i="9"/>
  <c r="D57" i="9"/>
  <c r="T57" i="9"/>
  <c r="H57" i="9"/>
  <c r="X57" i="9"/>
  <c r="L57" i="9"/>
  <c r="P57" i="9"/>
  <c r="F52" i="9"/>
  <c r="J52" i="9"/>
  <c r="N52" i="9"/>
  <c r="R52" i="9"/>
  <c r="V52" i="9"/>
  <c r="Z52" i="9"/>
  <c r="G52" i="9"/>
  <c r="K52" i="9"/>
  <c r="O52" i="9"/>
  <c r="S52" i="9"/>
  <c r="W52" i="9"/>
  <c r="AA52" i="9"/>
  <c r="D52" i="9"/>
  <c r="H52" i="9"/>
  <c r="L52" i="9"/>
  <c r="P52" i="9"/>
  <c r="T52" i="9"/>
  <c r="X52" i="9"/>
  <c r="Q52" i="9"/>
  <c r="E52" i="9"/>
  <c r="U52" i="9"/>
  <c r="M52" i="9"/>
  <c r="I52" i="9"/>
  <c r="Y52" i="9"/>
  <c r="G59" i="9"/>
  <c r="K59" i="9"/>
  <c r="O59" i="9"/>
  <c r="S59" i="9"/>
  <c r="W59" i="9"/>
  <c r="AA59" i="9"/>
  <c r="D59" i="9"/>
  <c r="H59" i="9"/>
  <c r="L59" i="9"/>
  <c r="P59" i="9"/>
  <c r="T59" i="9"/>
  <c r="X59" i="9"/>
  <c r="E59" i="9"/>
  <c r="I59" i="9"/>
  <c r="M59" i="9"/>
  <c r="Q59" i="9"/>
  <c r="U59" i="9"/>
  <c r="Y59" i="9"/>
  <c r="R59" i="9"/>
  <c r="F59" i="9"/>
  <c r="V59" i="9"/>
  <c r="J59" i="9"/>
  <c r="Z59" i="9"/>
  <c r="N59" i="9"/>
  <c r="D70" i="9"/>
  <c r="H70" i="9"/>
  <c r="L70" i="9"/>
  <c r="P70" i="9"/>
  <c r="T70" i="9"/>
  <c r="X70" i="9"/>
  <c r="F70" i="9"/>
  <c r="J70" i="9"/>
  <c r="N70" i="9"/>
  <c r="R70" i="9"/>
  <c r="V70" i="9"/>
  <c r="Z70" i="9"/>
  <c r="G70" i="9"/>
  <c r="O70" i="9"/>
  <c r="W70" i="9"/>
  <c r="S70" i="9"/>
  <c r="M70" i="9"/>
  <c r="I70" i="9"/>
  <c r="Q70" i="9"/>
  <c r="Y70" i="9"/>
  <c r="K70" i="9"/>
  <c r="E70" i="9"/>
  <c r="AA70" i="9"/>
  <c r="U70" i="9"/>
  <c r="F72" i="9"/>
  <c r="J72" i="9"/>
  <c r="N72" i="9"/>
  <c r="R72" i="9"/>
  <c r="V72" i="9"/>
  <c r="Z72" i="9"/>
  <c r="D72" i="9"/>
  <c r="H72" i="9"/>
  <c r="L72" i="9"/>
  <c r="P72" i="9"/>
  <c r="T72" i="9"/>
  <c r="X72" i="9"/>
  <c r="E72" i="9"/>
  <c r="M72" i="9"/>
  <c r="U72" i="9"/>
  <c r="I72" i="9"/>
  <c r="AA72" i="9"/>
  <c r="G72" i="9"/>
  <c r="O72" i="9"/>
  <c r="W72" i="9"/>
  <c r="Y72" i="9"/>
  <c r="K72" i="9"/>
  <c r="Q72" i="9"/>
  <c r="S72" i="9"/>
  <c r="E69" i="9"/>
  <c r="I69" i="9"/>
  <c r="M69" i="9"/>
  <c r="Q69" i="9"/>
  <c r="U69" i="9"/>
  <c r="Y69" i="9"/>
  <c r="G69" i="9"/>
  <c r="K69" i="9"/>
  <c r="O69" i="9"/>
  <c r="S69" i="9"/>
  <c r="W69" i="9"/>
  <c r="AA69" i="9"/>
  <c r="H69" i="9"/>
  <c r="P69" i="9"/>
  <c r="X69" i="9"/>
  <c r="L69" i="9"/>
  <c r="N69" i="9"/>
  <c r="J69" i="9"/>
  <c r="R69" i="9"/>
  <c r="Z69" i="9"/>
  <c r="T69" i="9"/>
  <c r="F69" i="9"/>
  <c r="D69" i="9"/>
  <c r="V69" i="9"/>
  <c r="E53" i="9"/>
  <c r="I53" i="9"/>
  <c r="M53" i="9"/>
  <c r="Q53" i="9"/>
  <c r="U53" i="9"/>
  <c r="Y53" i="9"/>
  <c r="F53" i="9"/>
  <c r="J53" i="9"/>
  <c r="N53" i="9"/>
  <c r="R53" i="9"/>
  <c r="V53" i="9"/>
  <c r="Z53" i="9"/>
  <c r="G53" i="9"/>
  <c r="K53" i="9"/>
  <c r="O53" i="9"/>
  <c r="S53" i="9"/>
  <c r="W53" i="9"/>
  <c r="AA53" i="9"/>
  <c r="H53" i="9"/>
  <c r="X53" i="9"/>
  <c r="T53" i="9"/>
  <c r="L53" i="9"/>
  <c r="P53" i="9"/>
  <c r="D53" i="9"/>
  <c r="G71" i="9"/>
  <c r="K71" i="9"/>
  <c r="O71" i="9"/>
  <c r="S71" i="9"/>
  <c r="W71" i="9"/>
  <c r="AA71" i="9"/>
  <c r="E71" i="9"/>
  <c r="I71" i="9"/>
  <c r="M71" i="9"/>
  <c r="Q71" i="9"/>
  <c r="U71" i="9"/>
  <c r="Y71" i="9"/>
  <c r="F71" i="9"/>
  <c r="N71" i="9"/>
  <c r="V71" i="9"/>
  <c r="R71" i="9"/>
  <c r="L71" i="9"/>
  <c r="H71" i="9"/>
  <c r="P71" i="9"/>
  <c r="X71" i="9"/>
  <c r="J71" i="9"/>
  <c r="D71" i="9"/>
  <c r="Z71" i="9"/>
  <c r="T71" i="9"/>
  <c r="G55" i="9"/>
  <c r="K55" i="9"/>
  <c r="O55" i="9"/>
  <c r="S55" i="9"/>
  <c r="W55" i="9"/>
  <c r="AA55" i="9"/>
  <c r="D55" i="9"/>
  <c r="H55" i="9"/>
  <c r="L55" i="9"/>
  <c r="P55" i="9"/>
  <c r="T55" i="9"/>
  <c r="X55" i="9"/>
  <c r="E55" i="9"/>
  <c r="I55" i="9"/>
  <c r="M55" i="9"/>
  <c r="Q55" i="9"/>
  <c r="U55" i="9"/>
  <c r="Y55" i="9"/>
  <c r="F55" i="9"/>
  <c r="V55" i="9"/>
  <c r="R55" i="9"/>
  <c r="J55" i="9"/>
  <c r="Z55" i="9"/>
  <c r="N55" i="9"/>
  <c r="I25" i="2"/>
  <c r="D25" i="2"/>
  <c r="F25" i="2"/>
  <c r="H25" i="2"/>
  <c r="G25" i="2"/>
  <c r="E25" i="2"/>
  <c r="D58" i="9"/>
  <c r="H58" i="9"/>
  <c r="L58" i="9"/>
  <c r="P58" i="9"/>
  <c r="T58" i="9"/>
  <c r="X58" i="9"/>
  <c r="E58" i="9"/>
  <c r="I58" i="9"/>
  <c r="M58" i="9"/>
  <c r="Q58" i="9"/>
  <c r="U58" i="9"/>
  <c r="Y58" i="9"/>
  <c r="F58" i="9"/>
  <c r="J58" i="9"/>
  <c r="N58" i="9"/>
  <c r="R58" i="9"/>
  <c r="V58" i="9"/>
  <c r="Z58" i="9"/>
  <c r="K58" i="9"/>
  <c r="AA58" i="9"/>
  <c r="W58" i="9"/>
  <c r="O58" i="9"/>
  <c r="G58" i="9"/>
  <c r="S58" i="9"/>
  <c r="D74" i="9"/>
  <c r="H74" i="9"/>
  <c r="L74" i="9"/>
  <c r="P74" i="9"/>
  <c r="T74" i="9"/>
  <c r="X74" i="9"/>
  <c r="F74" i="9"/>
  <c r="J74" i="9"/>
  <c r="N74" i="9"/>
  <c r="R74" i="9"/>
  <c r="V74" i="9"/>
  <c r="Z74" i="9"/>
  <c r="K74" i="9"/>
  <c r="S74" i="9"/>
  <c r="AA74" i="9"/>
  <c r="W74" i="9"/>
  <c r="Y74" i="9"/>
  <c r="E74" i="9"/>
  <c r="M74" i="9"/>
  <c r="U74" i="9"/>
  <c r="G74" i="9"/>
  <c r="Q74" i="9"/>
  <c r="O74" i="9"/>
  <c r="I74" i="9"/>
  <c r="E65" i="9"/>
  <c r="I65" i="9"/>
  <c r="M65" i="9"/>
  <c r="Q65" i="9"/>
  <c r="U65" i="9"/>
  <c r="Y65" i="9"/>
  <c r="G65" i="9"/>
  <c r="K65" i="9"/>
  <c r="O65" i="9"/>
  <c r="S65" i="9"/>
  <c r="W65" i="9"/>
  <c r="AA65" i="9"/>
  <c r="D65" i="9"/>
  <c r="L65" i="9"/>
  <c r="T65" i="9"/>
  <c r="J65" i="9"/>
  <c r="F65" i="9"/>
  <c r="N65" i="9"/>
  <c r="V65" i="9"/>
  <c r="H65" i="9"/>
  <c r="X65" i="9"/>
  <c r="R65" i="9"/>
  <c r="P65" i="9"/>
  <c r="Z65" i="9"/>
  <c r="F60" i="9"/>
  <c r="J60" i="9"/>
  <c r="N60" i="9"/>
  <c r="R60" i="9"/>
  <c r="V60" i="9"/>
  <c r="Z60" i="9"/>
  <c r="G60" i="9"/>
  <c r="K60" i="9"/>
  <c r="O60" i="9"/>
  <c r="S60" i="9"/>
  <c r="W60" i="9"/>
  <c r="AA60" i="9"/>
  <c r="D60" i="9"/>
  <c r="H60" i="9"/>
  <c r="L60" i="9"/>
  <c r="P60" i="9"/>
  <c r="T60" i="9"/>
  <c r="X60" i="9"/>
  <c r="I60" i="9"/>
  <c r="Y60" i="9"/>
  <c r="E60" i="9"/>
  <c r="M60" i="9"/>
  <c r="Q60" i="9"/>
  <c r="U60" i="9"/>
  <c r="G67" i="9"/>
  <c r="K67" i="9"/>
  <c r="O67" i="9"/>
  <c r="S67" i="9"/>
  <c r="W67" i="9"/>
  <c r="AA67" i="9"/>
  <c r="E67" i="9"/>
  <c r="I67" i="9"/>
  <c r="M67" i="9"/>
  <c r="Q67" i="9"/>
  <c r="U67" i="9"/>
  <c r="Y67" i="9"/>
  <c r="J67" i="9"/>
  <c r="R67" i="9"/>
  <c r="Z67" i="9"/>
  <c r="P67" i="9"/>
  <c r="D67" i="9"/>
  <c r="L67" i="9"/>
  <c r="T67" i="9"/>
  <c r="F67" i="9"/>
  <c r="V67" i="9"/>
  <c r="N67" i="9"/>
  <c r="H67" i="9"/>
  <c r="X67" i="9"/>
  <c r="G51" i="9"/>
  <c r="K51" i="9"/>
  <c r="O51" i="9"/>
  <c r="S51" i="9"/>
  <c r="W51" i="9"/>
  <c r="AA51" i="9"/>
  <c r="D51" i="9"/>
  <c r="H51" i="9"/>
  <c r="L51" i="9"/>
  <c r="P51" i="9"/>
  <c r="T51" i="9"/>
  <c r="X51" i="9"/>
  <c r="E51" i="9"/>
  <c r="I51" i="9"/>
  <c r="M51" i="9"/>
  <c r="Q51" i="9"/>
  <c r="U51" i="9"/>
  <c r="Y51" i="9"/>
  <c r="J51" i="9"/>
  <c r="Z51" i="9"/>
  <c r="V51" i="9"/>
  <c r="N51" i="9"/>
  <c r="R51" i="9"/>
  <c r="F51" i="9"/>
  <c r="C77" i="9" l="1"/>
  <c r="C63" i="7"/>
  <c r="C63" i="6"/>
  <c r="C63" i="5"/>
  <c r="D27" i="2" a="1"/>
  <c r="D2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Raquel Hdez Falcón</author>
  </authors>
  <commentList>
    <comment ref="D16" authorId="0" shapeId="0" xr:uid="{79692157-D74D-4E11-A94C-24E1A2BD86E0}">
      <text>
        <r>
          <rPr>
            <b/>
            <sz val="9"/>
            <color indexed="81"/>
            <rFont val="Tahoma"/>
            <family val="2"/>
          </rPr>
          <t>modificado ene-19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Raquel Hdez Falcón</author>
  </authors>
  <commentList>
    <comment ref="D16" authorId="0" shapeId="0" xr:uid="{91F3968E-B9E5-4A31-872E-138C50C43EBF}">
      <text>
        <r>
          <rPr>
            <b/>
            <sz val="9"/>
            <color indexed="81"/>
            <rFont val="Tahoma"/>
            <family val="2"/>
          </rPr>
          <t>modificado ene-19</t>
        </r>
      </text>
    </comment>
  </commentList>
</comments>
</file>

<file path=xl/sharedStrings.xml><?xml version="1.0" encoding="utf-8"?>
<sst xmlns="http://schemas.openxmlformats.org/spreadsheetml/2006/main" count="816" uniqueCount="39">
  <si>
    <t>Curva</t>
  </si>
  <si>
    <t>Tenor</t>
  </si>
  <si>
    <t>1M</t>
  </si>
  <si>
    <t>3M</t>
  </si>
  <si>
    <t>Misma divisa</t>
  </si>
  <si>
    <t>Theta</t>
  </si>
  <si>
    <t>Matriz estresada correlaciones</t>
  </si>
  <si>
    <t>Escenario</t>
  </si>
  <si>
    <t>Inflacion</t>
  </si>
  <si>
    <t>Tiene un cap en el 100% ==&gt; 54a FRTB</t>
  </si>
  <si>
    <t>Ejemplo inflacion y curvas de tipos</t>
  </si>
  <si>
    <t>Ejemplo 1: sensibilidad a una sola curva de la misma divisa</t>
  </si>
  <si>
    <t>Delta:</t>
  </si>
  <si>
    <t>SI</t>
  </si>
  <si>
    <t>RW: sqrt?</t>
  </si>
  <si>
    <t>Delta x RW</t>
  </si>
  <si>
    <t>Correlaciones:</t>
  </si>
  <si>
    <t>Kb: RW * Rho</t>
  </si>
  <si>
    <t>CAPITAL</t>
  </si>
  <si>
    <t>Escenario rho</t>
  </si>
  <si>
    <t>Ejemplo 2: sensibilidad a dos curvas de la misma divisa</t>
  </si>
  <si>
    <t>Kb:</t>
  </si>
  <si>
    <t>Ejemplo 3: sensibilidad a dos curvas de diferente divisa</t>
  </si>
  <si>
    <t>Curva EUR</t>
  </si>
  <si>
    <t>Curva USD</t>
  </si>
  <si>
    <t>EUR</t>
  </si>
  <si>
    <t>USD</t>
  </si>
  <si>
    <t>Ejemplo 4: sensibilidad a dos curvas de misma divisa y una curva de otra divisa</t>
  </si>
  <si>
    <t>OIS</t>
  </si>
  <si>
    <t>RW normal</t>
  </si>
  <si>
    <t>RW premiun</t>
  </si>
  <si>
    <t>Inflacion EUR</t>
  </si>
  <si>
    <t>Inflac EUR</t>
  </si>
  <si>
    <t>Inflacion USD</t>
  </si>
  <si>
    <t>Ejemplo 5: sensibilidad a dos curvas de diferente divisa e inflacion EUR</t>
  </si>
  <si>
    <t>Inflac USD</t>
  </si>
  <si>
    <t>Ejercicio: sensibilidad a dos curvas de diferente divisa e inflacion de dos divisas</t>
  </si>
  <si>
    <t>Ejemplo 6: sensibilidad a dos curvas de diferente divisa e inflacion USD</t>
  </si>
  <si>
    <t>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</si>
</sst>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0"/>
    <numFmt numFmtId="165" formatCode="_-* #,##0_-;\-* #,##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rgb="FFD84519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D84519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rgb="FFD8451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451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EAE4"/>
        <bgColor indexed="64"/>
      </patternFill>
    </fill>
    <fill>
      <patternFill patternType="solid">
        <fgColor theme="5" tint="0.79998168889431442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D84519"/>
      </left>
      <right style="thin">
        <color rgb="FFD84519"/>
      </right>
      <top style="thin">
        <color rgb="FFD84519"/>
      </top>
      <bottom style="thin">
        <color rgb="FFD84519"/>
      </bottom>
      <diagonal/>
    </border>
    <border>
      <left style="thin">
        <color rgb="FFD84519"/>
      </left>
      <right/>
      <top style="thin">
        <color rgb="FFD84519"/>
      </top>
      <bottom style="thin">
        <color rgb="FFD84519"/>
      </bottom>
      <diagonal/>
    </border>
    <border>
      <left/>
      <right/>
      <top style="thin">
        <color rgb="FFD84519"/>
      </top>
      <bottom style="thin">
        <color rgb="FFD84519"/>
      </bottom>
      <diagonal/>
    </border>
    <border>
      <left/>
      <right style="thin">
        <color rgb="FFD84519"/>
      </right>
      <top style="thin">
        <color rgb="FFD84519"/>
      </top>
      <bottom style="thin">
        <color rgb="FFD84519"/>
      </bottom>
      <diagonal/>
    </border>
    <border>
      <left/>
      <right/>
      <top style="thin">
        <color rgb="FFD84519"/>
      </top>
      <bottom style="dashed">
        <color rgb="FFD84519"/>
      </bottom>
      <diagonal/>
    </border>
    <border>
      <left/>
      <right/>
      <top/>
      <bottom style="dashed">
        <color rgb="FFD84519"/>
      </bottom>
      <diagonal/>
    </border>
    <border>
      <left/>
      <right/>
      <top style="thin">
        <color auto="1"/>
      </top>
      <bottom style="dashed">
        <color rgb="FFD84519"/>
      </bottom>
      <diagonal/>
    </border>
    <border>
      <left/>
      <right/>
      <top style="dashed">
        <color rgb="FFD84519"/>
      </top>
      <bottom style="dashed">
        <color rgb="FFD84519"/>
      </bottom>
      <diagonal/>
    </border>
    <border>
      <left style="thin">
        <color auto="1"/>
      </left>
      <right/>
      <top style="thin">
        <color rgb="FFD84519"/>
      </top>
      <bottom style="dashed">
        <color rgb="FFD84519"/>
      </bottom>
      <diagonal/>
    </border>
    <border>
      <left/>
      <right/>
      <top/>
      <bottom style="thin">
        <color rgb="FFD84519"/>
      </bottom>
      <diagonal/>
    </border>
    <border>
      <left style="thin">
        <color auto="1"/>
      </left>
      <right/>
      <top style="dashed">
        <color rgb="FFD84519"/>
      </top>
      <bottom style="thin">
        <color rgb="FFD84519"/>
      </bottom>
      <diagonal/>
    </border>
    <border>
      <left/>
      <right/>
      <top style="dashed">
        <color rgb="FFD84519"/>
      </top>
      <bottom style="thin">
        <color rgb="FFD84519"/>
      </bottom>
      <diagonal/>
    </border>
    <border>
      <left style="thin">
        <color auto="1"/>
      </left>
      <right/>
      <top style="dashed">
        <color rgb="FFD84519"/>
      </top>
      <bottom style="dashed">
        <color rgb="FFD84519"/>
      </bottom>
      <diagonal/>
    </border>
  </borders>
  <cellStyleXfs count="13">
    <xf numFmtId="0" fontId="0" fillId="0" borderId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11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164" fontId="0" fillId="0" borderId="0" xfId="1" applyNumberFormat="1" applyFont="1"/>
    <xf numFmtId="9" fontId="3" fillId="0" borderId="0" xfId="0" applyNumberFormat="1" applyFont="1"/>
    <xf numFmtId="0" fontId="3" fillId="0" borderId="2" xfId="0" applyFont="1" applyBorder="1"/>
    <xf numFmtId="0" fontId="4" fillId="0" borderId="0" xfId="0" applyFont="1"/>
    <xf numFmtId="0" fontId="5" fillId="0" borderId="0" xfId="0" applyFont="1"/>
    <xf numFmtId="4" fontId="0" fillId="0" borderId="0" xfId="0" applyNumberFormat="1"/>
    <xf numFmtId="164" fontId="3" fillId="0" borderId="0" xfId="1" applyNumberFormat="1" applyFont="1"/>
    <xf numFmtId="4" fontId="2" fillId="0" borderId="3" xfId="0" applyNumberFormat="1" applyFont="1" applyBorder="1"/>
    <xf numFmtId="4" fontId="2" fillId="0" borderId="4" xfId="0" applyNumberFormat="1" applyFont="1" applyBorder="1"/>
    <xf numFmtId="4" fontId="2" fillId="0" borderId="5" xfId="0" applyNumberFormat="1" applyFont="1" applyBorder="1"/>
    <xf numFmtId="0" fontId="6" fillId="0" borderId="0" xfId="0" applyFont="1"/>
    <xf numFmtId="3" fontId="0" fillId="0" borderId="0" xfId="0" applyNumberFormat="1"/>
    <xf numFmtId="0" fontId="7" fillId="0" borderId="0" xfId="0" applyFont="1"/>
    <xf numFmtId="0" fontId="11" fillId="0" borderId="0" xfId="0" applyFont="1"/>
    <xf numFmtId="0" fontId="10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/>
    </xf>
    <xf numFmtId="43" fontId="0" fillId="0" borderId="23" xfId="12" applyFont="1" applyBorder="1"/>
    <xf numFmtId="43" fontId="0" fillId="0" borderId="24" xfId="12" applyFont="1" applyBorder="1"/>
    <xf numFmtId="43" fontId="0" fillId="0" borderId="20" xfId="12" applyFont="1" applyBorder="1"/>
    <xf numFmtId="43" fontId="13" fillId="0" borderId="3" xfId="12" applyFont="1" applyBorder="1"/>
    <xf numFmtId="43" fontId="13" fillId="0" borderId="4" xfId="12" applyFont="1" applyBorder="1"/>
    <xf numFmtId="43" fontId="13" fillId="0" borderId="5" xfId="12" applyFont="1" applyBorder="1"/>
    <xf numFmtId="43" fontId="13" fillId="0" borderId="13" xfId="12" applyFont="1" applyBorder="1"/>
    <xf numFmtId="43" fontId="13" fillId="0" borderId="14" xfId="12" applyFont="1" applyBorder="1"/>
    <xf numFmtId="43" fontId="13" fillId="0" borderId="15" xfId="12" applyFont="1" applyBorder="1"/>
    <xf numFmtId="0" fontId="3" fillId="0" borderId="16" xfId="0" applyFont="1" applyBorder="1"/>
    <xf numFmtId="0" fontId="13" fillId="0" borderId="3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3" xfId="0" applyBorder="1" applyAlignment="1">
      <alignment horizontal="center"/>
    </xf>
    <xf numFmtId="43" fontId="0" fillId="0" borderId="0" xfId="12" applyFont="1" applyBorder="1"/>
    <xf numFmtId="43" fontId="0" fillId="0" borderId="26" xfId="12" applyFont="1" applyBorder="1"/>
    <xf numFmtId="43" fontId="0" fillId="0" borderId="27" xfId="12" applyFont="1" applyBorder="1"/>
    <xf numFmtId="43" fontId="13" fillId="0" borderId="3" xfId="12" applyFont="1" applyBorder="1" applyAlignment="1">
      <alignment horizontal="center"/>
    </xf>
    <xf numFmtId="43" fontId="13" fillId="0" borderId="4" xfId="12" applyFont="1" applyBorder="1" applyAlignment="1">
      <alignment horizontal="center"/>
    </xf>
    <xf numFmtId="43" fontId="13" fillId="0" borderId="5" xfId="12" applyFont="1" applyBorder="1" applyAlignment="1">
      <alignment horizontal="center"/>
    </xf>
    <xf numFmtId="43" fontId="13" fillId="0" borderId="13" xfId="12" applyFont="1" applyBorder="1" applyAlignment="1">
      <alignment horizontal="center"/>
    </xf>
    <xf numFmtId="43" fontId="13" fillId="0" borderId="14" xfId="12" applyFont="1" applyBorder="1" applyAlignment="1">
      <alignment horizontal="center"/>
    </xf>
    <xf numFmtId="43" fontId="13" fillId="0" borderId="15" xfId="12" applyFont="1" applyBorder="1" applyAlignment="1">
      <alignment horizontal="center"/>
    </xf>
    <xf numFmtId="43" fontId="0" fillId="0" borderId="28" xfId="12" applyFont="1" applyBorder="1"/>
    <xf numFmtId="43" fontId="0" fillId="3" borderId="23" xfId="12" applyFont="1" applyFill="1" applyBorder="1"/>
    <xf numFmtId="0" fontId="15" fillId="4" borderId="15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15" fillId="4" borderId="10" xfId="0" applyFont="1" applyFill="1" applyBorder="1" applyAlignment="1">
      <alignment horizontal="center"/>
    </xf>
    <xf numFmtId="0" fontId="15" fillId="4" borderId="13" xfId="0" applyFont="1" applyFill="1" applyBorder="1" applyAlignment="1">
      <alignment horizontal="center"/>
    </xf>
    <xf numFmtId="0" fontId="15" fillId="4" borderId="14" xfId="0" applyFont="1" applyFill="1" applyBorder="1" applyAlignment="1">
      <alignment horizontal="center"/>
    </xf>
    <xf numFmtId="4" fontId="0" fillId="3" borderId="17" xfId="0" applyNumberFormat="1" applyFill="1" applyBorder="1"/>
    <xf numFmtId="4" fontId="0" fillId="3" borderId="18" xfId="0" applyNumberFormat="1" applyFill="1" applyBorder="1"/>
    <xf numFmtId="4" fontId="0" fillId="3" borderId="19" xfId="0" applyNumberFormat="1" applyFill="1" applyBorder="1"/>
    <xf numFmtId="4" fontId="12" fillId="5" borderId="16" xfId="0" applyNumberFormat="1" applyFont="1" applyFill="1" applyBorder="1"/>
    <xf numFmtId="43" fontId="0" fillId="3" borderId="24" xfId="12" applyFont="1" applyFill="1" applyBorder="1"/>
    <xf numFmtId="43" fontId="0" fillId="3" borderId="20" xfId="12" applyFont="1" applyFill="1" applyBorder="1"/>
    <xf numFmtId="43" fontId="0" fillId="3" borderId="25" xfId="12" applyFont="1" applyFill="1" applyBorder="1"/>
    <xf numFmtId="43" fontId="0" fillId="3" borderId="6" xfId="12" applyFont="1" applyFill="1" applyBorder="1" applyAlignment="1">
      <alignment horizontal="center"/>
    </xf>
    <xf numFmtId="43" fontId="0" fillId="3" borderId="7" xfId="12" applyFont="1" applyFill="1" applyBorder="1" applyAlignment="1">
      <alignment horizontal="center"/>
    </xf>
    <xf numFmtId="43" fontId="0" fillId="3" borderId="8" xfId="12" applyFont="1" applyFill="1" applyBorder="1" applyAlignment="1">
      <alignment horizontal="center"/>
    </xf>
    <xf numFmtId="43" fontId="0" fillId="3" borderId="11" xfId="12" applyFont="1" applyFill="1" applyBorder="1" applyAlignment="1">
      <alignment horizontal="center"/>
    </xf>
    <xf numFmtId="43" fontId="0" fillId="3" borderId="0" xfId="12" applyFont="1" applyFill="1" applyBorder="1" applyAlignment="1">
      <alignment horizontal="center"/>
    </xf>
    <xf numFmtId="43" fontId="0" fillId="3" borderId="12" xfId="12" applyFont="1" applyFill="1" applyBorder="1" applyAlignment="1">
      <alignment horizontal="center"/>
    </xf>
    <xf numFmtId="43" fontId="0" fillId="3" borderId="9" xfId="12" applyFont="1" applyFill="1" applyBorder="1" applyAlignment="1">
      <alignment horizontal="center"/>
    </xf>
    <xf numFmtId="43" fontId="0" fillId="3" borderId="1" xfId="12" applyFont="1" applyFill="1" applyBorder="1" applyAlignment="1">
      <alignment horizontal="center"/>
    </xf>
    <xf numFmtId="43" fontId="0" fillId="3" borderId="10" xfId="12" applyFont="1" applyFill="1" applyBorder="1" applyAlignment="1">
      <alignment horizontal="center"/>
    </xf>
    <xf numFmtId="3" fontId="12" fillId="5" borderId="16" xfId="0" applyNumberFormat="1" applyFont="1" applyFill="1" applyBorder="1"/>
    <xf numFmtId="43" fontId="0" fillId="3" borderId="0" xfId="12" applyFont="1" applyFill="1" applyBorder="1"/>
    <xf numFmtId="43" fontId="0" fillId="3" borderId="26" xfId="12" applyFont="1" applyFill="1" applyBorder="1"/>
    <xf numFmtId="43" fontId="0" fillId="3" borderId="27" xfId="12" applyFont="1" applyFill="1" applyBorder="1"/>
    <xf numFmtId="164" fontId="0" fillId="3" borderId="6" xfId="0" applyNumberFormat="1" applyFill="1" applyBorder="1" applyAlignment="1">
      <alignment horizontal="center"/>
    </xf>
    <xf numFmtId="164" fontId="0" fillId="3" borderId="7" xfId="0" applyNumberFormat="1" applyFill="1" applyBorder="1" applyAlignment="1">
      <alignment horizontal="center"/>
    </xf>
    <xf numFmtId="164" fontId="0" fillId="3" borderId="8" xfId="0" applyNumberFormat="1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4" fontId="0" fillId="3" borderId="0" xfId="0" applyNumberFormat="1" applyFill="1" applyAlignment="1">
      <alignment horizontal="center"/>
    </xf>
    <xf numFmtId="164" fontId="0" fillId="3" borderId="12" xfId="0" applyNumberFormat="1" applyFill="1" applyBorder="1" applyAlignment="1">
      <alignment horizontal="center"/>
    </xf>
    <xf numFmtId="164" fontId="0" fillId="3" borderId="9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3" borderId="10" xfId="0" applyNumberFormat="1" applyFill="1" applyBorder="1" applyAlignment="1">
      <alignment horizontal="center"/>
    </xf>
    <xf numFmtId="165" fontId="0" fillId="3" borderId="6" xfId="12" applyNumberFormat="1" applyFont="1" applyFill="1" applyBorder="1" applyAlignment="1">
      <alignment horizontal="center"/>
    </xf>
    <xf numFmtId="165" fontId="0" fillId="3" borderId="7" xfId="12" applyNumberFormat="1" applyFont="1" applyFill="1" applyBorder="1" applyAlignment="1">
      <alignment horizontal="center"/>
    </xf>
    <xf numFmtId="165" fontId="0" fillId="3" borderId="8" xfId="12" applyNumberFormat="1" applyFont="1" applyFill="1" applyBorder="1" applyAlignment="1">
      <alignment horizontal="center"/>
    </xf>
    <xf numFmtId="165" fontId="0" fillId="3" borderId="11" xfId="12" applyNumberFormat="1" applyFont="1" applyFill="1" applyBorder="1" applyAlignment="1">
      <alignment horizontal="center"/>
    </xf>
    <xf numFmtId="165" fontId="0" fillId="3" borderId="0" xfId="12" applyNumberFormat="1" applyFont="1" applyFill="1" applyBorder="1" applyAlignment="1">
      <alignment horizontal="center"/>
    </xf>
    <xf numFmtId="165" fontId="0" fillId="3" borderId="12" xfId="12" applyNumberFormat="1" applyFont="1" applyFill="1" applyBorder="1" applyAlignment="1">
      <alignment horizontal="center"/>
    </xf>
    <xf numFmtId="165" fontId="0" fillId="3" borderId="9" xfId="12" applyNumberFormat="1" applyFont="1" applyFill="1" applyBorder="1" applyAlignment="1">
      <alignment horizontal="center"/>
    </xf>
    <xf numFmtId="165" fontId="0" fillId="3" borderId="1" xfId="12" applyNumberFormat="1" applyFont="1" applyFill="1" applyBorder="1" applyAlignment="1">
      <alignment horizontal="center"/>
    </xf>
    <xf numFmtId="165" fontId="0" fillId="3" borderId="10" xfId="12" applyNumberFormat="1" applyFont="1" applyFill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3" fontId="0" fillId="0" borderId="23" xfId="0" applyNumberFormat="1" applyBorder="1" applyAlignment="1">
      <alignment horizontal="center"/>
    </xf>
    <xf numFmtId="3" fontId="0" fillId="0" borderId="0" xfId="0" applyNumberFormat="1" applyAlignment="1">
      <alignment horizontal="center"/>
    </xf>
  </cellXfs>
  <cellStyles count="13">
    <cellStyle name="Comma" xfId="12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D84519"/>
      <color rgb="FFF9D3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228600</xdr:colOff>
      <xdr:row>1</xdr:row>
      <xdr:rowOff>20801</xdr:rowOff>
    </xdr:from>
    <xdr:to>
      <xdr:col>13</xdr:col>
      <xdr:colOff>205441</xdr:colOff>
      <xdr:row>9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0350" y="204951"/>
          <a:ext cx="5562600" cy="1528598"/>
        </a:xfrm>
        <a:prstGeom prst="rect">
          <a:avLst/>
        </a:prstGeom>
        <a:noFill/>
        <a:ln>
          <a:solidFill>
            <a:srgbClr val="D84519"/>
          </a:solidFill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428625</xdr:colOff>
      <xdr:row>0</xdr:row>
      <xdr:rowOff>165101</xdr:rowOff>
    </xdr:from>
    <xdr:to>
      <xdr:col>38</xdr:col>
      <xdr:colOff>549462</xdr:colOff>
      <xdr:row>9</xdr:row>
      <xdr:rowOff>98727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28875" y="165101"/>
          <a:ext cx="5705475" cy="1590976"/>
        </a:xfrm>
        <a:prstGeom prst="rect">
          <a:avLst/>
        </a:prstGeom>
        <a:noFill/>
        <a:ln>
          <a:solidFill>
            <a:srgbClr val="D84519"/>
          </a:solidFill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155884</xdr:colOff>
      <xdr:row>4</xdr:row>
      <xdr:rowOff>78440</xdr:rowOff>
    </xdr:from>
    <xdr:to>
      <xdr:col>23</xdr:col>
      <xdr:colOff>351948</xdr:colOff>
      <xdr:row>24</xdr:row>
      <xdr:rowOff>190499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64F942D-0451-ED48-C4D1-B5688203F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40560" y="862852"/>
          <a:ext cx="7916917" cy="39220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8"/>
  <sheetViews>
    <sheetView showGridLines="0" zoomScale="85" zoomScaleNormal="85" workbookViewId="0">
      <selection activeCell="A19" sqref="A19"/>
    </sheetView>
  </sheetViews>
  <sheetFormatPr defaultColWidth="8.85546875" defaultRowHeight="15" x14ac:dyDescent="0.25"/>
  <cols>
    <col min="1" max="1" width="12.42578125" bestFit="1" customWidth="1"/>
    <col min="2" max="2" width="6.140625" bestFit="1" customWidth="1"/>
    <col min="3" max="3" width="9.42578125" bestFit="1" customWidth="1"/>
    <col min="4" max="12" width="6.85546875" bestFit="1" customWidth="1"/>
    <col min="13" max="22" width="8.5703125" bestFit="1" customWidth="1"/>
    <col min="24" max="24" width="9.5703125" customWidth="1"/>
    <col min="25" max="25" width="6.140625" bestFit="1" customWidth="1"/>
    <col min="26" max="35" width="6.85546875" bestFit="1" customWidth="1"/>
    <col min="36" max="45" width="8.140625" bestFit="1" customWidth="1"/>
  </cols>
  <sheetData>
    <row r="1" spans="1:45" x14ac:dyDescent="0.25">
      <c r="A1" s="1" t="s">
        <v>4</v>
      </c>
      <c r="X1" s="1" t="s">
        <v>6</v>
      </c>
    </row>
    <row r="2" spans="1:45" x14ac:dyDescent="0.25">
      <c r="A2" s="1" t="s">
        <v>5</v>
      </c>
      <c r="B2" s="4">
        <v>0.03</v>
      </c>
      <c r="X2" s="1" t="s">
        <v>7</v>
      </c>
      <c r="Y2" s="5">
        <v>1</v>
      </c>
    </row>
    <row r="3" spans="1:45" x14ac:dyDescent="0.25">
      <c r="A3" s="1"/>
      <c r="X3" s="1" t="s">
        <v>9</v>
      </c>
    </row>
    <row r="4" spans="1:45" x14ac:dyDescent="0.25">
      <c r="A4" s="1"/>
      <c r="X4" s="1"/>
    </row>
    <row r="5" spans="1:45" x14ac:dyDescent="0.25">
      <c r="A5" s="1"/>
      <c r="X5" s="1"/>
    </row>
    <row r="6" spans="1:45" x14ac:dyDescent="0.25">
      <c r="A6" s="1"/>
      <c r="X6" s="1"/>
    </row>
    <row r="7" spans="1:45" x14ac:dyDescent="0.25">
      <c r="A7" s="1"/>
      <c r="X7" s="1"/>
    </row>
    <row r="8" spans="1:45" x14ac:dyDescent="0.25">
      <c r="A8" s="1"/>
      <c r="X8" s="1"/>
    </row>
    <row r="9" spans="1:45" x14ac:dyDescent="0.25">
      <c r="A9" s="1"/>
      <c r="X9" s="1"/>
    </row>
    <row r="10" spans="1:45" x14ac:dyDescent="0.25">
      <c r="A10" s="1"/>
      <c r="X10" s="1"/>
    </row>
    <row r="11" spans="1:45" x14ac:dyDescent="0.25">
      <c r="A11" s="1"/>
      <c r="X11" s="1"/>
    </row>
    <row r="12" spans="1:45" x14ac:dyDescent="0.25">
      <c r="B12" s="1" t="s">
        <v>0</v>
      </c>
      <c r="C12" s="2" t="str">
        <f t="array" ref="C12:V12">+TRANSPOSE(A14:A33)</f>
        <v>1M</v>
      </c>
      <c r="D12" s="2" t="str">
        <v>1M</v>
      </c>
      <c r="E12" s="2" t="str">
        <v>1M</v>
      </c>
      <c r="F12" s="2" t="str">
        <v>1M</v>
      </c>
      <c r="G12" s="2" t="str">
        <v>1M</v>
      </c>
      <c r="H12" s="2" t="str">
        <v>1M</v>
      </c>
      <c r="I12" s="2" t="str">
        <v>1M</v>
      </c>
      <c r="J12" s="2" t="str">
        <v>1M</v>
      </c>
      <c r="K12" s="2" t="str">
        <v>1M</v>
      </c>
      <c r="L12" s="2" t="str">
        <v>1M</v>
      </c>
      <c r="M12" s="2" t="str">
        <v>3M</v>
      </c>
      <c r="N12" s="2" t="str">
        <v>3M</v>
      </c>
      <c r="O12" s="2" t="str">
        <v>3M</v>
      </c>
      <c r="P12" s="2" t="str">
        <v>3M</v>
      </c>
      <c r="Q12" s="2" t="str">
        <v>3M</v>
      </c>
      <c r="R12" s="2" t="str">
        <v>3M</v>
      </c>
      <c r="S12" s="2" t="str">
        <v>3M</v>
      </c>
      <c r="T12" s="2" t="str">
        <v>3M</v>
      </c>
      <c r="U12" s="2" t="str">
        <v>3M</v>
      </c>
      <c r="V12" s="2" t="str">
        <v>3M</v>
      </c>
      <c r="Y12" s="1" t="s">
        <v>0</v>
      </c>
      <c r="Z12" s="2" t="str">
        <f t="array" ref="Z12:AS12">+TRANSPOSE(X14:X33)</f>
        <v>1M</v>
      </c>
      <c r="AA12" s="2" t="str">
        <v>1M</v>
      </c>
      <c r="AB12" s="2" t="str">
        <v>1M</v>
      </c>
      <c r="AC12" s="2" t="str">
        <v>1M</v>
      </c>
      <c r="AD12" s="2" t="str">
        <v>1M</v>
      </c>
      <c r="AE12" s="2" t="str">
        <v>1M</v>
      </c>
      <c r="AF12" s="2" t="str">
        <v>1M</v>
      </c>
      <c r="AG12" s="2" t="str">
        <v>1M</v>
      </c>
      <c r="AH12" s="2" t="str">
        <v>1M</v>
      </c>
      <c r="AI12" s="2" t="str">
        <v>1M</v>
      </c>
      <c r="AJ12" s="2" t="str">
        <v>3M</v>
      </c>
      <c r="AK12" s="2" t="str">
        <v>3M</v>
      </c>
      <c r="AL12" s="2" t="str">
        <v>3M</v>
      </c>
      <c r="AM12" s="2" t="str">
        <v>3M</v>
      </c>
      <c r="AN12" s="2" t="str">
        <v>3M</v>
      </c>
      <c r="AO12" s="2" t="str">
        <v>3M</v>
      </c>
      <c r="AP12" s="2" t="str">
        <v>3M</v>
      </c>
      <c r="AQ12" s="2" t="str">
        <v>3M</v>
      </c>
      <c r="AR12" s="2" t="str">
        <v>3M</v>
      </c>
      <c r="AS12" s="2" t="str">
        <v>3M</v>
      </c>
    </row>
    <row r="13" spans="1:45" x14ac:dyDescent="0.25">
      <c r="A13" s="1" t="s">
        <v>0</v>
      </c>
      <c r="B13" s="1" t="s">
        <v>1</v>
      </c>
      <c r="C13" s="2">
        <f t="array" ref="C13:V13">+TRANSPOSE(B14:B33)</f>
        <v>0.25</v>
      </c>
      <c r="D13" s="2">
        <v>0.5</v>
      </c>
      <c r="E13" s="2">
        <v>1</v>
      </c>
      <c r="F13" s="2">
        <v>2</v>
      </c>
      <c r="G13" s="2">
        <v>3</v>
      </c>
      <c r="H13" s="2">
        <v>5</v>
      </c>
      <c r="I13" s="2">
        <v>10</v>
      </c>
      <c r="J13" s="2">
        <v>15</v>
      </c>
      <c r="K13" s="2">
        <v>20</v>
      </c>
      <c r="L13" s="2">
        <v>30</v>
      </c>
      <c r="M13" s="2">
        <v>0.25</v>
      </c>
      <c r="N13" s="2">
        <v>0.5</v>
      </c>
      <c r="O13" s="2">
        <v>1</v>
      </c>
      <c r="P13" s="2">
        <v>2</v>
      </c>
      <c r="Q13" s="2">
        <v>3</v>
      </c>
      <c r="R13" s="2">
        <v>5</v>
      </c>
      <c r="S13" s="2">
        <v>10</v>
      </c>
      <c r="T13" s="2">
        <v>15</v>
      </c>
      <c r="U13" s="2">
        <v>20</v>
      </c>
      <c r="V13" s="2">
        <v>30</v>
      </c>
      <c r="X13" s="1" t="s">
        <v>0</v>
      </c>
      <c r="Y13" s="1" t="s">
        <v>1</v>
      </c>
      <c r="Z13" s="2">
        <f t="array" ref="Z13:AS13">+TRANSPOSE(Y14:Y33)</f>
        <v>0.25</v>
      </c>
      <c r="AA13" s="2">
        <v>0.5</v>
      </c>
      <c r="AB13" s="2">
        <v>1</v>
      </c>
      <c r="AC13" s="2">
        <v>2</v>
      </c>
      <c r="AD13" s="2">
        <v>3</v>
      </c>
      <c r="AE13" s="2">
        <v>5</v>
      </c>
      <c r="AF13" s="2">
        <v>10</v>
      </c>
      <c r="AG13" s="2">
        <v>15</v>
      </c>
      <c r="AH13" s="2">
        <v>20</v>
      </c>
      <c r="AI13" s="2">
        <v>30</v>
      </c>
      <c r="AJ13" s="2">
        <v>0.25</v>
      </c>
      <c r="AK13" s="2">
        <v>0.5</v>
      </c>
      <c r="AL13" s="2">
        <v>1</v>
      </c>
      <c r="AM13" s="2">
        <v>2</v>
      </c>
      <c r="AN13" s="2">
        <v>3</v>
      </c>
      <c r="AO13" s="2">
        <v>5</v>
      </c>
      <c r="AP13" s="2">
        <v>10</v>
      </c>
      <c r="AQ13" s="2">
        <v>15</v>
      </c>
      <c r="AR13" s="2">
        <v>20</v>
      </c>
      <c r="AS13" s="2">
        <v>30</v>
      </c>
    </row>
    <row r="14" spans="1:45" x14ac:dyDescent="0.25">
      <c r="A14" s="1" t="s">
        <v>2</v>
      </c>
      <c r="B14" s="1">
        <v>0.25</v>
      </c>
      <c r="C14" s="3">
        <f>+IF(C$12&lt;&gt;$A14,99.9%,1)*MAX(EXP(-$B$2*(ABS(C$13-$B14)/MIN(C$13,$B14))),40%)</f>
        <v>1</v>
      </c>
      <c r="D14" s="3">
        <f t="shared" ref="D14:S29" si="0">+IF(D$12&lt;&gt;$A14,99.9%,1)*MAX(EXP(-$B$2*(ABS(D$13-$B14)/MIN(D$13,$B14))),40%)</f>
        <v>0.97044553354850815</v>
      </c>
      <c r="E14" s="3">
        <f t="shared" si="0"/>
        <v>0.91393118527122819</v>
      </c>
      <c r="F14" s="3">
        <f t="shared" si="0"/>
        <v>0.81058424597018708</v>
      </c>
      <c r="G14" s="3">
        <f t="shared" si="0"/>
        <v>0.71892373343192617</v>
      </c>
      <c r="H14" s="3">
        <f t="shared" si="0"/>
        <v>0.56552543869953709</v>
      </c>
      <c r="I14" s="3">
        <f t="shared" si="0"/>
        <v>0.4</v>
      </c>
      <c r="J14" s="3">
        <f t="shared" si="0"/>
        <v>0.4</v>
      </c>
      <c r="K14" s="3">
        <f t="shared" si="0"/>
        <v>0.4</v>
      </c>
      <c r="L14" s="3">
        <f t="shared" si="0"/>
        <v>0.4</v>
      </c>
      <c r="M14" s="3">
        <f t="shared" si="0"/>
        <v>0.99900000000000011</v>
      </c>
      <c r="N14" s="3">
        <f t="shared" si="0"/>
        <v>0.96947508801495974</v>
      </c>
      <c r="O14" s="3">
        <f t="shared" si="0"/>
        <v>0.91301725408595702</v>
      </c>
      <c r="P14" s="3">
        <f t="shared" si="0"/>
        <v>0.80977366172421694</v>
      </c>
      <c r="Q14" s="3">
        <f t="shared" si="0"/>
        <v>0.71820480969849432</v>
      </c>
      <c r="R14" s="3">
        <f t="shared" si="0"/>
        <v>0.56495991326083761</v>
      </c>
      <c r="S14" s="3">
        <f t="shared" si="0"/>
        <v>0.39960000000000007</v>
      </c>
      <c r="T14" s="3">
        <f t="shared" ref="T14:V33" si="1">+IF(T$12&lt;&gt;$A14,99.9%,1)*MAX(EXP(-$B$2*(ABS(T$13-$B14)/MIN(T$13,$B14))),40%)</f>
        <v>0.39960000000000007</v>
      </c>
      <c r="U14" s="3">
        <f t="shared" si="1"/>
        <v>0.39960000000000007</v>
      </c>
      <c r="V14" s="3">
        <f t="shared" si="1"/>
        <v>0.39960000000000007</v>
      </c>
      <c r="X14" s="1" t="s">
        <v>2</v>
      </c>
      <c r="Y14" s="1">
        <v>0.25</v>
      </c>
      <c r="Z14" s="9">
        <v>1</v>
      </c>
      <c r="AA14" s="3">
        <f t="shared" ref="AA14:AA33" si="2">+IF(D14*$Y$2&gt;1,1,D14*$Y$2)</f>
        <v>0.97044553354850815</v>
      </c>
      <c r="AB14" s="3">
        <f t="shared" ref="AB14:AB33" si="3">+IF(E14*$Y$2&gt;1,1,E14*$Y$2)</f>
        <v>0.91393118527122819</v>
      </c>
      <c r="AC14" s="3">
        <f t="shared" ref="AC14:AC33" si="4">+IF(F14*$Y$2&gt;1,1,F14*$Y$2)</f>
        <v>0.81058424597018708</v>
      </c>
      <c r="AD14" s="3">
        <f t="shared" ref="AD14:AD33" si="5">+IF(G14*$Y$2&gt;1,1,G14*$Y$2)</f>
        <v>0.71892373343192617</v>
      </c>
      <c r="AE14" s="3">
        <f t="shared" ref="AE14:AE33" si="6">+IF(H14*$Y$2&gt;1,1,H14*$Y$2)</f>
        <v>0.56552543869953709</v>
      </c>
      <c r="AF14" s="3">
        <f t="shared" ref="AF14:AF33" si="7">+IF(I14*$Y$2&gt;1,1,I14*$Y$2)</f>
        <v>0.4</v>
      </c>
      <c r="AG14" s="3">
        <f t="shared" ref="AG14:AG33" si="8">+IF(J14*$Y$2&gt;1,1,J14*$Y$2)</f>
        <v>0.4</v>
      </c>
      <c r="AH14" s="3">
        <f t="shared" ref="AH14:AH33" si="9">+IF(K14*$Y$2&gt;1,1,K14*$Y$2)</f>
        <v>0.4</v>
      </c>
      <c r="AI14" s="3">
        <f t="shared" ref="AI14:AI22" si="10">+IF(L14*$Y$2&gt;1,1,L14*$Y$2)</f>
        <v>0.4</v>
      </c>
      <c r="AJ14" s="3">
        <f t="shared" ref="AJ14:AJ33" si="11">+IF(M14*$Y$2&gt;1,1,M14*$Y$2)</f>
        <v>0.99900000000000011</v>
      </c>
      <c r="AK14" s="3">
        <f t="shared" ref="AK14:AK33" si="12">+IF(N14*$Y$2&gt;1,1,N14*$Y$2)</f>
        <v>0.96947508801495974</v>
      </c>
      <c r="AL14" s="3">
        <f t="shared" ref="AL14:AL33" si="13">+IF(O14*$Y$2&gt;1,1,O14*$Y$2)</f>
        <v>0.91301725408595702</v>
      </c>
      <c r="AM14" s="3">
        <f t="shared" ref="AM14:AM33" si="14">+IF(P14*$Y$2&gt;1,1,P14*$Y$2)</f>
        <v>0.80977366172421694</v>
      </c>
      <c r="AN14" s="3">
        <f t="shared" ref="AN14:AN33" si="15">+IF(Q14*$Y$2&gt;1,1,Q14*$Y$2)</f>
        <v>0.71820480969849432</v>
      </c>
      <c r="AO14" s="3">
        <f t="shared" ref="AO14:AO33" si="16">+IF(R14*$Y$2&gt;1,1,R14*$Y$2)</f>
        <v>0.56495991326083761</v>
      </c>
      <c r="AP14" s="3">
        <f t="shared" ref="AP14:AP33" si="17">+IF(S14*$Y$2&gt;1,1,S14*$Y$2)</f>
        <v>0.39960000000000007</v>
      </c>
      <c r="AQ14" s="3">
        <f t="shared" ref="AQ14:AQ33" si="18">+IF(T14*$Y$2&gt;1,1,T14*$Y$2)</f>
        <v>0.39960000000000007</v>
      </c>
      <c r="AR14" s="3">
        <f t="shared" ref="AR14:AR33" si="19">+IF(U14*$Y$2&gt;1,1,U14*$Y$2)</f>
        <v>0.39960000000000007</v>
      </c>
      <c r="AS14" s="3">
        <f t="shared" ref="AS14:AS32" si="20">+IF(V14*$Y$2&gt;1,1,V14*$Y$2)</f>
        <v>0.39960000000000007</v>
      </c>
    </row>
    <row r="15" spans="1:45" x14ac:dyDescent="0.25">
      <c r="A15" s="1" t="s">
        <v>2</v>
      </c>
      <c r="B15" s="1">
        <v>0.5</v>
      </c>
      <c r="C15" s="3">
        <f t="shared" ref="C15:R30" si="21">+IF(C$12&lt;&gt;$A15,99.9%,1)*MAX(EXP(-$B$2*(ABS(C$13-$B15)/MIN(C$13,$B15))),40%)</f>
        <v>0.97044553354850815</v>
      </c>
      <c r="D15" s="3">
        <f t="shared" si="0"/>
        <v>1</v>
      </c>
      <c r="E15" s="3">
        <f t="shared" si="0"/>
        <v>0.97044553354850815</v>
      </c>
      <c r="F15" s="3">
        <f t="shared" si="0"/>
        <v>0.91393118527122819</v>
      </c>
      <c r="G15" s="3">
        <f t="shared" si="0"/>
        <v>0.86070797642505781</v>
      </c>
      <c r="H15" s="3">
        <f t="shared" si="0"/>
        <v>0.76337949433685315</v>
      </c>
      <c r="I15" s="3">
        <f t="shared" si="0"/>
        <v>0.56552543869953709</v>
      </c>
      <c r="J15" s="3">
        <f t="shared" si="0"/>
        <v>0.418951549247639</v>
      </c>
      <c r="K15" s="3">
        <f t="shared" si="0"/>
        <v>0.4</v>
      </c>
      <c r="L15" s="3">
        <f t="shared" si="0"/>
        <v>0.4</v>
      </c>
      <c r="M15" s="3">
        <f t="shared" si="0"/>
        <v>0.96947508801495974</v>
      </c>
      <c r="N15" s="3">
        <f t="shared" si="0"/>
        <v>0.99900000000000011</v>
      </c>
      <c r="O15" s="3">
        <f t="shared" si="0"/>
        <v>0.96947508801495974</v>
      </c>
      <c r="P15" s="3">
        <f t="shared" si="0"/>
        <v>0.91301725408595702</v>
      </c>
      <c r="Q15" s="3">
        <f t="shared" si="0"/>
        <v>0.8598472684486328</v>
      </c>
      <c r="R15" s="3">
        <f t="shared" si="0"/>
        <v>0.76261611484251635</v>
      </c>
      <c r="S15" s="3">
        <f t="shared" si="0"/>
        <v>0.56495991326083761</v>
      </c>
      <c r="T15" s="3">
        <f t="shared" si="1"/>
        <v>0.41853259769839141</v>
      </c>
      <c r="U15" s="3">
        <f t="shared" si="1"/>
        <v>0.39960000000000007</v>
      </c>
      <c r="V15" s="3">
        <f t="shared" si="1"/>
        <v>0.39960000000000007</v>
      </c>
      <c r="X15" s="1" t="s">
        <v>2</v>
      </c>
      <c r="Y15" s="1">
        <v>0.5</v>
      </c>
      <c r="Z15" s="3">
        <f t="shared" ref="Z15:Z25" si="22">+IF(C15*$Y$2&gt;1,1,C15*$Y$2)</f>
        <v>0.97044553354850815</v>
      </c>
      <c r="AA15" s="9">
        <v>1</v>
      </c>
      <c r="AB15" s="3">
        <f t="shared" si="3"/>
        <v>0.97044553354850815</v>
      </c>
      <c r="AC15" s="3">
        <f t="shared" si="4"/>
        <v>0.91393118527122819</v>
      </c>
      <c r="AD15" s="3">
        <f t="shared" si="5"/>
        <v>0.86070797642505781</v>
      </c>
      <c r="AE15" s="3">
        <f t="shared" si="6"/>
        <v>0.76337949433685315</v>
      </c>
      <c r="AF15" s="3">
        <f t="shared" si="7"/>
        <v>0.56552543869953709</v>
      </c>
      <c r="AG15" s="3">
        <f t="shared" si="8"/>
        <v>0.418951549247639</v>
      </c>
      <c r="AH15" s="3">
        <f t="shared" si="9"/>
        <v>0.4</v>
      </c>
      <c r="AI15" s="3">
        <f t="shared" si="10"/>
        <v>0.4</v>
      </c>
      <c r="AJ15" s="3">
        <f t="shared" si="11"/>
        <v>0.96947508801495974</v>
      </c>
      <c r="AK15" s="3">
        <f t="shared" si="12"/>
        <v>0.99900000000000011</v>
      </c>
      <c r="AL15" s="3">
        <f t="shared" si="13"/>
        <v>0.96947508801495974</v>
      </c>
      <c r="AM15" s="3">
        <f t="shared" si="14"/>
        <v>0.91301725408595702</v>
      </c>
      <c r="AN15" s="3">
        <f t="shared" si="15"/>
        <v>0.8598472684486328</v>
      </c>
      <c r="AO15" s="3">
        <f t="shared" si="16"/>
        <v>0.76261611484251635</v>
      </c>
      <c r="AP15" s="3">
        <f t="shared" si="17"/>
        <v>0.56495991326083761</v>
      </c>
      <c r="AQ15" s="3">
        <f t="shared" si="18"/>
        <v>0.41853259769839141</v>
      </c>
      <c r="AR15" s="3">
        <f t="shared" si="19"/>
        <v>0.39960000000000007</v>
      </c>
      <c r="AS15" s="3">
        <f t="shared" si="20"/>
        <v>0.39960000000000007</v>
      </c>
    </row>
    <row r="16" spans="1:45" x14ac:dyDescent="0.25">
      <c r="A16" s="1" t="s">
        <v>2</v>
      </c>
      <c r="B16" s="1">
        <v>1</v>
      </c>
      <c r="C16" s="3">
        <f t="shared" si="21"/>
        <v>0.91393118527122819</v>
      </c>
      <c r="D16" s="3">
        <f t="shared" si="0"/>
        <v>0.97044553354850815</v>
      </c>
      <c r="E16" s="3">
        <f t="shared" si="0"/>
        <v>1</v>
      </c>
      <c r="F16" s="3">
        <f t="shared" si="0"/>
        <v>0.97044553354850815</v>
      </c>
      <c r="G16" s="3">
        <f t="shared" si="0"/>
        <v>0.94176453358424872</v>
      </c>
      <c r="H16" s="3">
        <f t="shared" si="0"/>
        <v>0.88692043671715748</v>
      </c>
      <c r="I16" s="3">
        <f t="shared" si="0"/>
        <v>0.76337949433685315</v>
      </c>
      <c r="J16" s="3">
        <f t="shared" si="0"/>
        <v>0.65704681981505675</v>
      </c>
      <c r="K16" s="3">
        <f t="shared" si="0"/>
        <v>0.56552543869953709</v>
      </c>
      <c r="L16" s="3">
        <f t="shared" si="0"/>
        <v>0.418951549247639</v>
      </c>
      <c r="M16" s="3">
        <f t="shared" si="0"/>
        <v>0.91301725408595702</v>
      </c>
      <c r="N16" s="3">
        <f t="shared" si="0"/>
        <v>0.96947508801495974</v>
      </c>
      <c r="O16" s="3">
        <f t="shared" si="0"/>
        <v>0.99900000000000011</v>
      </c>
      <c r="P16" s="3">
        <f t="shared" si="0"/>
        <v>0.96947508801495974</v>
      </c>
      <c r="Q16" s="3">
        <f t="shared" si="0"/>
        <v>0.94082276905066453</v>
      </c>
      <c r="R16" s="3">
        <f t="shared" si="0"/>
        <v>0.88603351628044047</v>
      </c>
      <c r="S16" s="3">
        <f t="shared" si="0"/>
        <v>0.76261611484251635</v>
      </c>
      <c r="T16" s="3">
        <f t="shared" si="1"/>
        <v>0.65638977299524182</v>
      </c>
      <c r="U16" s="3">
        <f t="shared" si="1"/>
        <v>0.56495991326083761</v>
      </c>
      <c r="V16" s="3">
        <f t="shared" si="1"/>
        <v>0.41853259769839141</v>
      </c>
      <c r="X16" s="1" t="s">
        <v>2</v>
      </c>
      <c r="Y16" s="1">
        <v>1</v>
      </c>
      <c r="Z16" s="3">
        <f t="shared" si="22"/>
        <v>0.91393118527122819</v>
      </c>
      <c r="AA16" s="3">
        <f t="shared" si="2"/>
        <v>0.97044553354850815</v>
      </c>
      <c r="AB16" s="9">
        <v>1</v>
      </c>
      <c r="AC16" s="3">
        <f t="shared" si="4"/>
        <v>0.97044553354850815</v>
      </c>
      <c r="AD16" s="3">
        <f t="shared" si="5"/>
        <v>0.94176453358424872</v>
      </c>
      <c r="AE16" s="3">
        <f t="shared" si="6"/>
        <v>0.88692043671715748</v>
      </c>
      <c r="AF16" s="3">
        <f t="shared" si="7"/>
        <v>0.76337949433685315</v>
      </c>
      <c r="AG16" s="3">
        <f t="shared" si="8"/>
        <v>0.65704681981505675</v>
      </c>
      <c r="AH16" s="3">
        <f t="shared" si="9"/>
        <v>0.56552543869953709</v>
      </c>
      <c r="AI16" s="3">
        <f t="shared" si="10"/>
        <v>0.418951549247639</v>
      </c>
      <c r="AJ16" s="3">
        <f t="shared" si="11"/>
        <v>0.91301725408595702</v>
      </c>
      <c r="AK16" s="3">
        <f t="shared" si="12"/>
        <v>0.96947508801495974</v>
      </c>
      <c r="AL16" s="3">
        <f t="shared" si="13"/>
        <v>0.99900000000000011</v>
      </c>
      <c r="AM16" s="3">
        <f t="shared" si="14"/>
        <v>0.96947508801495974</v>
      </c>
      <c r="AN16" s="3">
        <f t="shared" si="15"/>
        <v>0.94082276905066453</v>
      </c>
      <c r="AO16" s="3">
        <f t="shared" si="16"/>
        <v>0.88603351628044047</v>
      </c>
      <c r="AP16" s="3">
        <f t="shared" si="17"/>
        <v>0.76261611484251635</v>
      </c>
      <c r="AQ16" s="3">
        <f t="shared" si="18"/>
        <v>0.65638977299524182</v>
      </c>
      <c r="AR16" s="3">
        <f t="shared" si="19"/>
        <v>0.56495991326083761</v>
      </c>
      <c r="AS16" s="3">
        <f t="shared" si="20"/>
        <v>0.41853259769839141</v>
      </c>
    </row>
    <row r="17" spans="1:45" x14ac:dyDescent="0.25">
      <c r="A17" s="1" t="s">
        <v>2</v>
      </c>
      <c r="B17" s="1">
        <v>2</v>
      </c>
      <c r="C17" s="3">
        <f t="shared" si="21"/>
        <v>0.81058424597018708</v>
      </c>
      <c r="D17" s="3">
        <f t="shared" si="0"/>
        <v>0.91393118527122819</v>
      </c>
      <c r="E17" s="3">
        <f t="shared" si="0"/>
        <v>0.97044553354850815</v>
      </c>
      <c r="F17" s="3">
        <f t="shared" si="0"/>
        <v>1</v>
      </c>
      <c r="G17" s="3">
        <f t="shared" si="0"/>
        <v>0.98511193960306265</v>
      </c>
      <c r="H17" s="3">
        <f t="shared" si="0"/>
        <v>0.95599748183309996</v>
      </c>
      <c r="I17" s="3">
        <f t="shared" si="0"/>
        <v>0.88692043671715748</v>
      </c>
      <c r="J17" s="3">
        <f t="shared" si="0"/>
        <v>0.82283465805601841</v>
      </c>
      <c r="K17" s="3">
        <f t="shared" si="0"/>
        <v>0.76337949433685315</v>
      </c>
      <c r="L17" s="3">
        <f t="shared" si="0"/>
        <v>0.65704681981505675</v>
      </c>
      <c r="M17" s="3">
        <f t="shared" si="0"/>
        <v>0.80977366172421694</v>
      </c>
      <c r="N17" s="3">
        <f t="shared" si="0"/>
        <v>0.91301725408595702</v>
      </c>
      <c r="O17" s="3">
        <f t="shared" si="0"/>
        <v>0.96947508801495974</v>
      </c>
      <c r="P17" s="3">
        <f t="shared" si="0"/>
        <v>0.99900000000000011</v>
      </c>
      <c r="Q17" s="3">
        <f t="shared" si="0"/>
        <v>0.98412682766345971</v>
      </c>
      <c r="R17" s="3">
        <f t="shared" si="0"/>
        <v>0.95504148435126701</v>
      </c>
      <c r="S17" s="3">
        <f t="shared" si="0"/>
        <v>0.88603351628044047</v>
      </c>
      <c r="T17" s="3">
        <f t="shared" si="1"/>
        <v>0.82201182339796253</v>
      </c>
      <c r="U17" s="3">
        <f t="shared" si="1"/>
        <v>0.76261611484251635</v>
      </c>
      <c r="V17" s="3">
        <f t="shared" si="1"/>
        <v>0.65638977299524182</v>
      </c>
      <c r="X17" s="1" t="s">
        <v>2</v>
      </c>
      <c r="Y17" s="1">
        <v>2</v>
      </c>
      <c r="Z17" s="3">
        <f t="shared" si="22"/>
        <v>0.81058424597018708</v>
      </c>
      <c r="AA17" s="3">
        <f t="shared" si="2"/>
        <v>0.91393118527122819</v>
      </c>
      <c r="AB17" s="3">
        <f t="shared" si="3"/>
        <v>0.97044553354850815</v>
      </c>
      <c r="AC17" s="9">
        <v>1</v>
      </c>
      <c r="AD17" s="3">
        <f t="shared" si="5"/>
        <v>0.98511193960306265</v>
      </c>
      <c r="AE17" s="3">
        <f t="shared" si="6"/>
        <v>0.95599748183309996</v>
      </c>
      <c r="AF17" s="3">
        <f t="shared" si="7"/>
        <v>0.88692043671715748</v>
      </c>
      <c r="AG17" s="3">
        <f t="shared" si="8"/>
        <v>0.82283465805601841</v>
      </c>
      <c r="AH17" s="3">
        <f t="shared" si="9"/>
        <v>0.76337949433685315</v>
      </c>
      <c r="AI17" s="3">
        <f t="shared" si="10"/>
        <v>0.65704681981505675</v>
      </c>
      <c r="AJ17" s="3">
        <f t="shared" si="11"/>
        <v>0.80977366172421694</v>
      </c>
      <c r="AK17" s="3">
        <f t="shared" si="12"/>
        <v>0.91301725408595702</v>
      </c>
      <c r="AL17" s="3">
        <f t="shared" si="13"/>
        <v>0.96947508801495974</v>
      </c>
      <c r="AM17" s="3">
        <f t="shared" si="14"/>
        <v>0.99900000000000011</v>
      </c>
      <c r="AN17" s="3">
        <f t="shared" si="15"/>
        <v>0.98412682766345971</v>
      </c>
      <c r="AO17" s="3">
        <f t="shared" si="16"/>
        <v>0.95504148435126701</v>
      </c>
      <c r="AP17" s="3">
        <f t="shared" si="17"/>
        <v>0.88603351628044047</v>
      </c>
      <c r="AQ17" s="3">
        <f t="shared" si="18"/>
        <v>0.82201182339796253</v>
      </c>
      <c r="AR17" s="3">
        <f t="shared" si="19"/>
        <v>0.76261611484251635</v>
      </c>
      <c r="AS17" s="3">
        <f t="shared" si="20"/>
        <v>0.65638977299524182</v>
      </c>
    </row>
    <row r="18" spans="1:45" x14ac:dyDescent="0.25">
      <c r="A18" s="1" t="s">
        <v>2</v>
      </c>
      <c r="B18" s="1">
        <v>3</v>
      </c>
      <c r="C18" s="3">
        <f t="shared" si="21"/>
        <v>0.71892373343192617</v>
      </c>
      <c r="D18" s="3">
        <f t="shared" si="0"/>
        <v>0.86070797642505781</v>
      </c>
      <c r="E18" s="3">
        <f t="shared" si="0"/>
        <v>0.94176453358424872</v>
      </c>
      <c r="F18" s="3">
        <f t="shared" si="0"/>
        <v>0.98511193960306265</v>
      </c>
      <c r="G18" s="3">
        <f t="shared" si="0"/>
        <v>1</v>
      </c>
      <c r="H18" s="3">
        <f t="shared" si="0"/>
        <v>0.98019867330675525</v>
      </c>
      <c r="I18" s="3">
        <f t="shared" si="0"/>
        <v>0.93239381990594827</v>
      </c>
      <c r="J18" s="3">
        <f t="shared" si="0"/>
        <v>0.88692043671715748</v>
      </c>
      <c r="K18" s="3">
        <f t="shared" si="0"/>
        <v>0.8436648165963837</v>
      </c>
      <c r="L18" s="3">
        <f t="shared" si="0"/>
        <v>0.76337949433685315</v>
      </c>
      <c r="M18" s="3">
        <f t="shared" si="0"/>
        <v>0.71820480969849432</v>
      </c>
      <c r="N18" s="3">
        <f t="shared" si="0"/>
        <v>0.8598472684486328</v>
      </c>
      <c r="O18" s="3">
        <f t="shared" si="0"/>
        <v>0.94082276905066453</v>
      </c>
      <c r="P18" s="3">
        <f t="shared" si="0"/>
        <v>0.98412682766345971</v>
      </c>
      <c r="Q18" s="3">
        <f t="shared" si="0"/>
        <v>0.99900000000000011</v>
      </c>
      <c r="R18" s="3">
        <f t="shared" si="0"/>
        <v>0.97921847463344858</v>
      </c>
      <c r="S18" s="3">
        <f t="shared" si="0"/>
        <v>0.93146142608604243</v>
      </c>
      <c r="T18" s="3">
        <f t="shared" si="1"/>
        <v>0.88603351628044047</v>
      </c>
      <c r="U18" s="3">
        <f t="shared" si="1"/>
        <v>0.84282115177978745</v>
      </c>
      <c r="V18" s="3">
        <f t="shared" si="1"/>
        <v>0.76261611484251635</v>
      </c>
      <c r="X18" s="1" t="s">
        <v>2</v>
      </c>
      <c r="Y18" s="1">
        <v>3</v>
      </c>
      <c r="Z18" s="3">
        <f t="shared" si="22"/>
        <v>0.71892373343192617</v>
      </c>
      <c r="AA18" s="3">
        <f t="shared" si="2"/>
        <v>0.86070797642505781</v>
      </c>
      <c r="AB18" s="3">
        <f t="shared" si="3"/>
        <v>0.94176453358424872</v>
      </c>
      <c r="AC18" s="3">
        <f t="shared" si="4"/>
        <v>0.98511193960306265</v>
      </c>
      <c r="AD18" s="9">
        <v>1</v>
      </c>
      <c r="AE18" s="3">
        <f t="shared" si="6"/>
        <v>0.98019867330675525</v>
      </c>
      <c r="AF18" s="3">
        <f t="shared" si="7"/>
        <v>0.93239381990594827</v>
      </c>
      <c r="AG18" s="3">
        <f t="shared" si="8"/>
        <v>0.88692043671715748</v>
      </c>
      <c r="AH18" s="3">
        <f t="shared" si="9"/>
        <v>0.8436648165963837</v>
      </c>
      <c r="AI18" s="3">
        <f t="shared" si="10"/>
        <v>0.76337949433685315</v>
      </c>
      <c r="AJ18" s="3">
        <f t="shared" si="11"/>
        <v>0.71820480969849432</v>
      </c>
      <c r="AK18" s="3">
        <f t="shared" si="12"/>
        <v>0.8598472684486328</v>
      </c>
      <c r="AL18" s="3">
        <f t="shared" si="13"/>
        <v>0.94082276905066453</v>
      </c>
      <c r="AM18" s="3">
        <f t="shared" si="14"/>
        <v>0.98412682766345971</v>
      </c>
      <c r="AN18" s="3">
        <f t="shared" si="15"/>
        <v>0.99900000000000011</v>
      </c>
      <c r="AO18" s="3">
        <f t="shared" si="16"/>
        <v>0.97921847463344858</v>
      </c>
      <c r="AP18" s="3">
        <f t="shared" si="17"/>
        <v>0.93146142608604243</v>
      </c>
      <c r="AQ18" s="3">
        <f t="shared" si="18"/>
        <v>0.88603351628044047</v>
      </c>
      <c r="AR18" s="3">
        <f t="shared" si="19"/>
        <v>0.84282115177978745</v>
      </c>
      <c r="AS18" s="3">
        <f t="shared" si="20"/>
        <v>0.76261611484251635</v>
      </c>
    </row>
    <row r="19" spans="1:45" x14ac:dyDescent="0.25">
      <c r="A19" s="1" t="s">
        <v>2</v>
      </c>
      <c r="B19" s="1">
        <v>5</v>
      </c>
      <c r="C19" s="3">
        <f t="shared" si="21"/>
        <v>0.56552543869953709</v>
      </c>
      <c r="D19" s="3">
        <f t="shared" si="0"/>
        <v>0.76337949433685315</v>
      </c>
      <c r="E19" s="3">
        <f t="shared" si="0"/>
        <v>0.88692043671715748</v>
      </c>
      <c r="F19" s="3">
        <f t="shared" si="0"/>
        <v>0.95599748183309996</v>
      </c>
      <c r="G19" s="3">
        <f t="shared" si="0"/>
        <v>0.98019867330675525</v>
      </c>
      <c r="H19" s="3">
        <f t="shared" si="0"/>
        <v>1</v>
      </c>
      <c r="I19" s="3">
        <f t="shared" si="0"/>
        <v>0.97044553354850815</v>
      </c>
      <c r="J19" s="3">
        <f t="shared" si="0"/>
        <v>0.94176453358424872</v>
      </c>
      <c r="K19" s="3">
        <f t="shared" si="0"/>
        <v>0.91393118527122819</v>
      </c>
      <c r="L19" s="3">
        <f t="shared" si="0"/>
        <v>0.86070797642505781</v>
      </c>
      <c r="M19" s="3">
        <f t="shared" si="0"/>
        <v>0.56495991326083761</v>
      </c>
      <c r="N19" s="3">
        <f t="shared" si="0"/>
        <v>0.76261611484251635</v>
      </c>
      <c r="O19" s="3">
        <f t="shared" si="0"/>
        <v>0.88603351628044047</v>
      </c>
      <c r="P19" s="3">
        <f t="shared" si="0"/>
        <v>0.95504148435126701</v>
      </c>
      <c r="Q19" s="3">
        <f t="shared" si="0"/>
        <v>0.97921847463344858</v>
      </c>
      <c r="R19" s="3">
        <f t="shared" si="0"/>
        <v>0.99900000000000011</v>
      </c>
      <c r="S19" s="3">
        <f t="shared" si="0"/>
        <v>0.96947508801495974</v>
      </c>
      <c r="T19" s="3">
        <f t="shared" si="1"/>
        <v>0.94082276905066453</v>
      </c>
      <c r="U19" s="3">
        <f t="shared" si="1"/>
        <v>0.91301725408595702</v>
      </c>
      <c r="V19" s="3">
        <f t="shared" si="1"/>
        <v>0.8598472684486328</v>
      </c>
      <c r="X19" s="1" t="s">
        <v>2</v>
      </c>
      <c r="Y19" s="1">
        <v>5</v>
      </c>
      <c r="Z19" s="3">
        <f t="shared" si="22"/>
        <v>0.56552543869953709</v>
      </c>
      <c r="AA19" s="3">
        <f t="shared" si="2"/>
        <v>0.76337949433685315</v>
      </c>
      <c r="AB19" s="3">
        <f t="shared" si="3"/>
        <v>0.88692043671715748</v>
      </c>
      <c r="AC19" s="3">
        <f t="shared" si="4"/>
        <v>0.95599748183309996</v>
      </c>
      <c r="AD19" s="3">
        <f t="shared" si="5"/>
        <v>0.98019867330675525</v>
      </c>
      <c r="AE19" s="9">
        <v>1</v>
      </c>
      <c r="AF19" s="3">
        <f t="shared" si="7"/>
        <v>0.97044553354850815</v>
      </c>
      <c r="AG19" s="3">
        <f t="shared" si="8"/>
        <v>0.94176453358424872</v>
      </c>
      <c r="AH19" s="3">
        <f t="shared" si="9"/>
        <v>0.91393118527122819</v>
      </c>
      <c r="AI19" s="3">
        <f t="shared" si="10"/>
        <v>0.86070797642505781</v>
      </c>
      <c r="AJ19" s="3">
        <f t="shared" si="11"/>
        <v>0.56495991326083761</v>
      </c>
      <c r="AK19" s="3">
        <f t="shared" si="12"/>
        <v>0.76261611484251635</v>
      </c>
      <c r="AL19" s="3">
        <f t="shared" si="13"/>
        <v>0.88603351628044047</v>
      </c>
      <c r="AM19" s="3">
        <f t="shared" si="14"/>
        <v>0.95504148435126701</v>
      </c>
      <c r="AN19" s="3">
        <f t="shared" si="15"/>
        <v>0.97921847463344858</v>
      </c>
      <c r="AO19" s="3">
        <f t="shared" si="16"/>
        <v>0.99900000000000011</v>
      </c>
      <c r="AP19" s="3">
        <f t="shared" si="17"/>
        <v>0.96947508801495974</v>
      </c>
      <c r="AQ19" s="3">
        <f t="shared" si="18"/>
        <v>0.94082276905066453</v>
      </c>
      <c r="AR19" s="3">
        <f t="shared" si="19"/>
        <v>0.91301725408595702</v>
      </c>
      <c r="AS19" s="3">
        <f t="shared" si="20"/>
        <v>0.8598472684486328</v>
      </c>
    </row>
    <row r="20" spans="1:45" x14ac:dyDescent="0.25">
      <c r="A20" s="1" t="s">
        <v>2</v>
      </c>
      <c r="B20" s="1">
        <v>10</v>
      </c>
      <c r="C20" s="3">
        <f t="shared" si="21"/>
        <v>0.4</v>
      </c>
      <c r="D20" s="3">
        <f t="shared" si="0"/>
        <v>0.56552543869953709</v>
      </c>
      <c r="E20" s="3">
        <f t="shared" si="0"/>
        <v>0.76337949433685315</v>
      </c>
      <c r="F20" s="3">
        <f t="shared" si="0"/>
        <v>0.88692043671715748</v>
      </c>
      <c r="G20" s="3">
        <f t="shared" si="0"/>
        <v>0.93239381990594827</v>
      </c>
      <c r="H20" s="3">
        <f t="shared" si="0"/>
        <v>0.97044553354850815</v>
      </c>
      <c r="I20" s="3">
        <f t="shared" si="0"/>
        <v>1</v>
      </c>
      <c r="J20" s="3">
        <f t="shared" si="0"/>
        <v>0.98511193960306265</v>
      </c>
      <c r="K20" s="3">
        <f t="shared" si="0"/>
        <v>0.97044553354850815</v>
      </c>
      <c r="L20" s="3">
        <f t="shared" si="0"/>
        <v>0.94176453358424872</v>
      </c>
      <c r="M20" s="3">
        <f t="shared" si="0"/>
        <v>0.39960000000000007</v>
      </c>
      <c r="N20" s="3">
        <f t="shared" si="0"/>
        <v>0.56495991326083761</v>
      </c>
      <c r="O20" s="3">
        <f t="shared" si="0"/>
        <v>0.76261611484251635</v>
      </c>
      <c r="P20" s="3">
        <f t="shared" si="0"/>
        <v>0.88603351628044047</v>
      </c>
      <c r="Q20" s="3">
        <f t="shared" si="0"/>
        <v>0.93146142608604243</v>
      </c>
      <c r="R20" s="3">
        <f t="shared" si="0"/>
        <v>0.96947508801495974</v>
      </c>
      <c r="S20" s="3">
        <f t="shared" si="0"/>
        <v>0.99900000000000011</v>
      </c>
      <c r="T20" s="3">
        <f t="shared" si="1"/>
        <v>0.98412682766345971</v>
      </c>
      <c r="U20" s="3">
        <f t="shared" si="1"/>
        <v>0.96947508801495974</v>
      </c>
      <c r="V20" s="3">
        <f t="shared" si="1"/>
        <v>0.94082276905066453</v>
      </c>
      <c r="X20" s="1" t="s">
        <v>2</v>
      </c>
      <c r="Y20" s="1">
        <v>10</v>
      </c>
      <c r="Z20" s="3">
        <f t="shared" si="22"/>
        <v>0.4</v>
      </c>
      <c r="AA20" s="3">
        <f t="shared" si="2"/>
        <v>0.56552543869953709</v>
      </c>
      <c r="AB20" s="3">
        <f t="shared" si="3"/>
        <v>0.76337949433685315</v>
      </c>
      <c r="AC20" s="3">
        <f t="shared" si="4"/>
        <v>0.88692043671715748</v>
      </c>
      <c r="AD20" s="3">
        <f t="shared" si="5"/>
        <v>0.93239381990594827</v>
      </c>
      <c r="AE20" s="3">
        <f t="shared" si="6"/>
        <v>0.97044553354850815</v>
      </c>
      <c r="AF20" s="9">
        <v>1</v>
      </c>
      <c r="AG20" s="3">
        <f t="shared" si="8"/>
        <v>0.98511193960306265</v>
      </c>
      <c r="AH20" s="3">
        <f t="shared" si="9"/>
        <v>0.97044553354850815</v>
      </c>
      <c r="AI20" s="3">
        <f t="shared" si="10"/>
        <v>0.94176453358424872</v>
      </c>
      <c r="AJ20" s="3">
        <f t="shared" si="11"/>
        <v>0.39960000000000007</v>
      </c>
      <c r="AK20" s="3">
        <f t="shared" si="12"/>
        <v>0.56495991326083761</v>
      </c>
      <c r="AL20" s="3">
        <f t="shared" si="13"/>
        <v>0.76261611484251635</v>
      </c>
      <c r="AM20" s="3">
        <f t="shared" si="14"/>
        <v>0.88603351628044047</v>
      </c>
      <c r="AN20" s="3">
        <f t="shared" si="15"/>
        <v>0.93146142608604243</v>
      </c>
      <c r="AO20" s="3">
        <f t="shared" si="16"/>
        <v>0.96947508801495974</v>
      </c>
      <c r="AP20" s="3">
        <f t="shared" si="17"/>
        <v>0.99900000000000011</v>
      </c>
      <c r="AQ20" s="3">
        <f t="shared" si="18"/>
        <v>0.98412682766345971</v>
      </c>
      <c r="AR20" s="3">
        <f t="shared" si="19"/>
        <v>0.96947508801495974</v>
      </c>
      <c r="AS20" s="3">
        <f t="shared" si="20"/>
        <v>0.94082276905066453</v>
      </c>
    </row>
    <row r="21" spans="1:45" x14ac:dyDescent="0.25">
      <c r="A21" s="1" t="s">
        <v>2</v>
      </c>
      <c r="B21" s="1">
        <v>15</v>
      </c>
      <c r="C21" s="3">
        <f t="shared" si="21"/>
        <v>0.4</v>
      </c>
      <c r="D21" s="3">
        <f t="shared" si="0"/>
        <v>0.418951549247639</v>
      </c>
      <c r="E21" s="3">
        <f t="shared" si="0"/>
        <v>0.65704681981505675</v>
      </c>
      <c r="F21" s="3">
        <f t="shared" si="0"/>
        <v>0.82283465805601841</v>
      </c>
      <c r="G21" s="3">
        <f t="shared" si="0"/>
        <v>0.88692043671715748</v>
      </c>
      <c r="H21" s="3">
        <f t="shared" si="0"/>
        <v>0.94176453358424872</v>
      </c>
      <c r="I21" s="3">
        <f t="shared" si="0"/>
        <v>0.98511193960306265</v>
      </c>
      <c r="J21" s="3">
        <f t="shared" si="0"/>
        <v>1</v>
      </c>
      <c r="K21" s="3">
        <f t="shared" si="0"/>
        <v>0.99004983374916811</v>
      </c>
      <c r="L21" s="3">
        <f t="shared" si="0"/>
        <v>0.97044553354850815</v>
      </c>
      <c r="M21" s="3">
        <f t="shared" si="0"/>
        <v>0.39960000000000007</v>
      </c>
      <c r="N21" s="3">
        <f t="shared" si="0"/>
        <v>0.41853259769839141</v>
      </c>
      <c r="O21" s="3">
        <f t="shared" si="0"/>
        <v>0.65638977299524182</v>
      </c>
      <c r="P21" s="3">
        <f t="shared" si="0"/>
        <v>0.82201182339796253</v>
      </c>
      <c r="Q21" s="3">
        <f t="shared" si="0"/>
        <v>0.88603351628044047</v>
      </c>
      <c r="R21" s="3">
        <f t="shared" si="0"/>
        <v>0.94082276905066453</v>
      </c>
      <c r="S21" s="3">
        <f t="shared" si="0"/>
        <v>0.98412682766345971</v>
      </c>
      <c r="T21" s="3">
        <f t="shared" si="1"/>
        <v>0.99900000000000011</v>
      </c>
      <c r="U21" s="3">
        <f t="shared" si="1"/>
        <v>0.98905978391541904</v>
      </c>
      <c r="V21" s="3">
        <f t="shared" si="1"/>
        <v>0.96947508801495974</v>
      </c>
      <c r="X21" s="1" t="s">
        <v>2</v>
      </c>
      <c r="Y21" s="1">
        <v>15</v>
      </c>
      <c r="Z21" s="3">
        <f t="shared" si="22"/>
        <v>0.4</v>
      </c>
      <c r="AA21" s="3">
        <f t="shared" si="2"/>
        <v>0.418951549247639</v>
      </c>
      <c r="AB21" s="3">
        <f t="shared" si="3"/>
        <v>0.65704681981505675</v>
      </c>
      <c r="AC21" s="3">
        <f t="shared" si="4"/>
        <v>0.82283465805601841</v>
      </c>
      <c r="AD21" s="3">
        <f t="shared" si="5"/>
        <v>0.88692043671715748</v>
      </c>
      <c r="AE21" s="3">
        <f t="shared" si="6"/>
        <v>0.94176453358424872</v>
      </c>
      <c r="AF21" s="3">
        <f t="shared" si="7"/>
        <v>0.98511193960306265</v>
      </c>
      <c r="AG21" s="9">
        <v>1</v>
      </c>
      <c r="AH21" s="3">
        <f t="shared" si="9"/>
        <v>0.99004983374916811</v>
      </c>
      <c r="AI21" s="3">
        <f t="shared" si="10"/>
        <v>0.97044553354850815</v>
      </c>
      <c r="AJ21" s="3">
        <f t="shared" si="11"/>
        <v>0.39960000000000007</v>
      </c>
      <c r="AK21" s="3">
        <f t="shared" si="12"/>
        <v>0.41853259769839141</v>
      </c>
      <c r="AL21" s="3">
        <f t="shared" si="13"/>
        <v>0.65638977299524182</v>
      </c>
      <c r="AM21" s="3">
        <f t="shared" si="14"/>
        <v>0.82201182339796253</v>
      </c>
      <c r="AN21" s="3">
        <f t="shared" si="15"/>
        <v>0.88603351628044047</v>
      </c>
      <c r="AO21" s="3">
        <f t="shared" si="16"/>
        <v>0.94082276905066453</v>
      </c>
      <c r="AP21" s="3">
        <f t="shared" si="17"/>
        <v>0.98412682766345971</v>
      </c>
      <c r="AQ21" s="3">
        <f t="shared" si="18"/>
        <v>0.99900000000000011</v>
      </c>
      <c r="AR21" s="3">
        <f t="shared" si="19"/>
        <v>0.98905978391541904</v>
      </c>
      <c r="AS21" s="3">
        <f t="shared" si="20"/>
        <v>0.96947508801495974</v>
      </c>
    </row>
    <row r="22" spans="1:45" x14ac:dyDescent="0.25">
      <c r="A22" s="1" t="s">
        <v>2</v>
      </c>
      <c r="B22" s="1">
        <v>20</v>
      </c>
      <c r="C22" s="3">
        <f t="shared" si="21"/>
        <v>0.4</v>
      </c>
      <c r="D22" s="3">
        <f t="shared" si="0"/>
        <v>0.4</v>
      </c>
      <c r="E22" s="3">
        <f t="shared" si="0"/>
        <v>0.56552543869953709</v>
      </c>
      <c r="F22" s="3">
        <f t="shared" si="0"/>
        <v>0.76337949433685315</v>
      </c>
      <c r="G22" s="3">
        <f t="shared" si="0"/>
        <v>0.8436648165963837</v>
      </c>
      <c r="H22" s="3">
        <f t="shared" si="0"/>
        <v>0.91393118527122819</v>
      </c>
      <c r="I22" s="3">
        <f t="shared" si="0"/>
        <v>0.97044553354850815</v>
      </c>
      <c r="J22" s="3">
        <f t="shared" si="0"/>
        <v>0.99004983374916811</v>
      </c>
      <c r="K22" s="3">
        <f t="shared" si="0"/>
        <v>1</v>
      </c>
      <c r="L22" s="3">
        <f t="shared" si="0"/>
        <v>0.98511193960306265</v>
      </c>
      <c r="M22" s="3">
        <f t="shared" si="0"/>
        <v>0.39960000000000007</v>
      </c>
      <c r="N22" s="3">
        <f t="shared" si="0"/>
        <v>0.39960000000000007</v>
      </c>
      <c r="O22" s="3">
        <f t="shared" si="0"/>
        <v>0.56495991326083761</v>
      </c>
      <c r="P22" s="3">
        <f t="shared" si="0"/>
        <v>0.76261611484251635</v>
      </c>
      <c r="Q22" s="3">
        <f t="shared" si="0"/>
        <v>0.84282115177978745</v>
      </c>
      <c r="R22" s="3">
        <f t="shared" si="0"/>
        <v>0.91301725408595702</v>
      </c>
      <c r="S22" s="3">
        <f t="shared" si="0"/>
        <v>0.96947508801495974</v>
      </c>
      <c r="T22" s="3">
        <f t="shared" si="1"/>
        <v>0.98905978391541904</v>
      </c>
      <c r="U22" s="3">
        <f t="shared" si="1"/>
        <v>0.99900000000000011</v>
      </c>
      <c r="V22" s="3">
        <f t="shared" si="1"/>
        <v>0.98412682766345971</v>
      </c>
      <c r="X22" s="1" t="s">
        <v>2</v>
      </c>
      <c r="Y22" s="1">
        <v>20</v>
      </c>
      <c r="Z22" s="3">
        <f t="shared" si="22"/>
        <v>0.4</v>
      </c>
      <c r="AA22" s="3">
        <f t="shared" si="2"/>
        <v>0.4</v>
      </c>
      <c r="AB22" s="3">
        <f t="shared" si="3"/>
        <v>0.56552543869953709</v>
      </c>
      <c r="AC22" s="3">
        <f t="shared" si="4"/>
        <v>0.76337949433685315</v>
      </c>
      <c r="AD22" s="3">
        <f t="shared" si="5"/>
        <v>0.8436648165963837</v>
      </c>
      <c r="AE22" s="3">
        <f t="shared" si="6"/>
        <v>0.91393118527122819</v>
      </c>
      <c r="AF22" s="3">
        <f t="shared" si="7"/>
        <v>0.97044553354850815</v>
      </c>
      <c r="AG22" s="3">
        <f t="shared" si="8"/>
        <v>0.99004983374916811</v>
      </c>
      <c r="AH22" s="9">
        <v>1</v>
      </c>
      <c r="AI22" s="3">
        <f t="shared" si="10"/>
        <v>0.98511193960306265</v>
      </c>
      <c r="AJ22" s="3">
        <f t="shared" si="11"/>
        <v>0.39960000000000007</v>
      </c>
      <c r="AK22" s="3">
        <f t="shared" si="12"/>
        <v>0.39960000000000007</v>
      </c>
      <c r="AL22" s="3">
        <f t="shared" si="13"/>
        <v>0.56495991326083761</v>
      </c>
      <c r="AM22" s="3">
        <f t="shared" si="14"/>
        <v>0.76261611484251635</v>
      </c>
      <c r="AN22" s="3">
        <f t="shared" si="15"/>
        <v>0.84282115177978745</v>
      </c>
      <c r="AO22" s="3">
        <f t="shared" si="16"/>
        <v>0.91301725408595702</v>
      </c>
      <c r="AP22" s="3">
        <f t="shared" si="17"/>
        <v>0.96947508801495974</v>
      </c>
      <c r="AQ22" s="3">
        <f t="shared" si="18"/>
        <v>0.98905978391541904</v>
      </c>
      <c r="AR22" s="3">
        <f t="shared" si="19"/>
        <v>0.99900000000000011</v>
      </c>
      <c r="AS22" s="3">
        <f t="shared" si="20"/>
        <v>0.98412682766345971</v>
      </c>
    </row>
    <row r="23" spans="1:45" x14ac:dyDescent="0.25">
      <c r="A23" s="1" t="s">
        <v>2</v>
      </c>
      <c r="B23" s="1">
        <v>30</v>
      </c>
      <c r="C23" s="3">
        <f t="shared" si="21"/>
        <v>0.4</v>
      </c>
      <c r="D23" s="3">
        <f t="shared" si="0"/>
        <v>0.4</v>
      </c>
      <c r="E23" s="3">
        <f t="shared" si="0"/>
        <v>0.418951549247639</v>
      </c>
      <c r="F23" s="3">
        <f t="shared" si="0"/>
        <v>0.65704681981505675</v>
      </c>
      <c r="G23" s="3">
        <f t="shared" si="0"/>
        <v>0.76337949433685315</v>
      </c>
      <c r="H23" s="3">
        <f t="shared" si="0"/>
        <v>0.86070797642505781</v>
      </c>
      <c r="I23" s="3">
        <f t="shared" si="0"/>
        <v>0.94176453358424872</v>
      </c>
      <c r="J23" s="3">
        <f t="shared" si="0"/>
        <v>0.97044553354850815</v>
      </c>
      <c r="K23" s="3">
        <f t="shared" si="0"/>
        <v>0.98511193960306265</v>
      </c>
      <c r="L23" s="3">
        <f t="shared" si="0"/>
        <v>1</v>
      </c>
      <c r="M23" s="3">
        <f t="shared" si="0"/>
        <v>0.39960000000000007</v>
      </c>
      <c r="N23" s="3">
        <f t="shared" si="0"/>
        <v>0.39960000000000007</v>
      </c>
      <c r="O23" s="3">
        <f t="shared" si="0"/>
        <v>0.41853259769839141</v>
      </c>
      <c r="P23" s="3">
        <f t="shared" si="0"/>
        <v>0.65638977299524182</v>
      </c>
      <c r="Q23" s="3">
        <f t="shared" si="0"/>
        <v>0.76261611484251635</v>
      </c>
      <c r="R23" s="3">
        <f t="shared" si="0"/>
        <v>0.8598472684486328</v>
      </c>
      <c r="S23" s="3">
        <f t="shared" si="0"/>
        <v>0.94082276905066453</v>
      </c>
      <c r="T23" s="3">
        <f t="shared" si="1"/>
        <v>0.96947508801495974</v>
      </c>
      <c r="U23" s="3">
        <f t="shared" si="1"/>
        <v>0.98412682766345971</v>
      </c>
      <c r="V23" s="3">
        <f t="shared" si="1"/>
        <v>0.99900000000000011</v>
      </c>
      <c r="X23" s="1" t="s">
        <v>2</v>
      </c>
      <c r="Y23" s="1">
        <v>30</v>
      </c>
      <c r="Z23" s="3">
        <f t="shared" si="22"/>
        <v>0.4</v>
      </c>
      <c r="AA23" s="3">
        <f t="shared" si="2"/>
        <v>0.4</v>
      </c>
      <c r="AB23" s="3">
        <f t="shared" si="3"/>
        <v>0.418951549247639</v>
      </c>
      <c r="AC23" s="3">
        <f t="shared" si="4"/>
        <v>0.65704681981505675</v>
      </c>
      <c r="AD23" s="3">
        <f t="shared" si="5"/>
        <v>0.76337949433685315</v>
      </c>
      <c r="AE23" s="3">
        <f t="shared" si="6"/>
        <v>0.86070797642505781</v>
      </c>
      <c r="AF23" s="3">
        <f t="shared" si="7"/>
        <v>0.94176453358424872</v>
      </c>
      <c r="AG23" s="3">
        <f t="shared" si="8"/>
        <v>0.97044553354850815</v>
      </c>
      <c r="AH23" s="3">
        <f t="shared" si="9"/>
        <v>0.98511193960306265</v>
      </c>
      <c r="AI23" s="9">
        <v>1</v>
      </c>
      <c r="AJ23" s="3">
        <f t="shared" si="11"/>
        <v>0.39960000000000007</v>
      </c>
      <c r="AK23" s="3">
        <f t="shared" si="12"/>
        <v>0.39960000000000007</v>
      </c>
      <c r="AL23" s="3">
        <f t="shared" si="13"/>
        <v>0.41853259769839141</v>
      </c>
      <c r="AM23" s="3">
        <f t="shared" si="14"/>
        <v>0.65638977299524182</v>
      </c>
      <c r="AN23" s="3">
        <f t="shared" si="15"/>
        <v>0.76261611484251635</v>
      </c>
      <c r="AO23" s="3">
        <f t="shared" si="16"/>
        <v>0.8598472684486328</v>
      </c>
      <c r="AP23" s="3">
        <f t="shared" si="17"/>
        <v>0.94082276905066453</v>
      </c>
      <c r="AQ23" s="3">
        <f t="shared" si="18"/>
        <v>0.96947508801495974</v>
      </c>
      <c r="AR23" s="3">
        <f t="shared" si="19"/>
        <v>0.98412682766345971</v>
      </c>
      <c r="AS23" s="3">
        <f t="shared" si="20"/>
        <v>0.99900000000000011</v>
      </c>
    </row>
    <row r="24" spans="1:45" x14ac:dyDescent="0.25">
      <c r="A24" s="1" t="s">
        <v>3</v>
      </c>
      <c r="B24" s="1">
        <v>0.25</v>
      </c>
      <c r="C24" s="3">
        <f t="shared" si="21"/>
        <v>0.99900000000000011</v>
      </c>
      <c r="D24" s="3">
        <f t="shared" si="0"/>
        <v>0.96947508801495974</v>
      </c>
      <c r="E24" s="3">
        <f t="shared" si="0"/>
        <v>0.91301725408595702</v>
      </c>
      <c r="F24" s="3">
        <f t="shared" si="0"/>
        <v>0.80977366172421694</v>
      </c>
      <c r="G24" s="3">
        <f t="shared" si="0"/>
        <v>0.71820480969849432</v>
      </c>
      <c r="H24" s="3">
        <f t="shared" si="0"/>
        <v>0.56495991326083761</v>
      </c>
      <c r="I24" s="3">
        <f t="shared" si="0"/>
        <v>0.39960000000000007</v>
      </c>
      <c r="J24" s="3">
        <f t="shared" si="0"/>
        <v>0.39960000000000007</v>
      </c>
      <c r="K24" s="3">
        <f t="shared" si="0"/>
        <v>0.39960000000000007</v>
      </c>
      <c r="L24" s="3">
        <f t="shared" si="0"/>
        <v>0.39960000000000007</v>
      </c>
      <c r="M24" s="3">
        <f t="shared" si="0"/>
        <v>1</v>
      </c>
      <c r="N24" s="3">
        <f t="shared" si="0"/>
        <v>0.97044553354850815</v>
      </c>
      <c r="O24" s="3">
        <f t="shared" si="0"/>
        <v>0.91393118527122819</v>
      </c>
      <c r="P24" s="3">
        <f t="shared" si="0"/>
        <v>0.81058424597018708</v>
      </c>
      <c r="Q24" s="3">
        <f t="shared" si="0"/>
        <v>0.71892373343192617</v>
      </c>
      <c r="R24" s="3">
        <f t="shared" si="0"/>
        <v>0.56552543869953709</v>
      </c>
      <c r="S24" s="3">
        <f t="shared" si="0"/>
        <v>0.4</v>
      </c>
      <c r="T24" s="3">
        <f t="shared" si="1"/>
        <v>0.4</v>
      </c>
      <c r="U24" s="3">
        <f t="shared" si="1"/>
        <v>0.4</v>
      </c>
      <c r="V24" s="3">
        <f t="shared" si="1"/>
        <v>0.4</v>
      </c>
      <c r="X24" s="1" t="s">
        <v>3</v>
      </c>
      <c r="Y24" s="1">
        <v>0.25</v>
      </c>
      <c r="Z24" s="3">
        <f t="shared" ref="Z24" si="23">+IF(C24*$Y$2&gt;1,1,C24*$Y$2)</f>
        <v>0.99900000000000011</v>
      </c>
      <c r="AA24" s="3">
        <f t="shared" si="2"/>
        <v>0.96947508801495974</v>
      </c>
      <c r="AB24" s="3">
        <f t="shared" si="3"/>
        <v>0.91301725408595702</v>
      </c>
      <c r="AC24" s="3">
        <f t="shared" si="4"/>
        <v>0.80977366172421694</v>
      </c>
      <c r="AD24" s="3">
        <f t="shared" si="5"/>
        <v>0.71820480969849432</v>
      </c>
      <c r="AE24" s="3">
        <f t="shared" si="6"/>
        <v>0.56495991326083761</v>
      </c>
      <c r="AF24" s="3">
        <f t="shared" si="7"/>
        <v>0.39960000000000007</v>
      </c>
      <c r="AG24" s="3">
        <f t="shared" si="8"/>
        <v>0.39960000000000007</v>
      </c>
      <c r="AH24" s="3">
        <f t="shared" si="9"/>
        <v>0.39960000000000007</v>
      </c>
      <c r="AI24" s="3">
        <f t="shared" ref="AI24:AI33" si="24">+IF(L24*$Y$2&gt;1,1,L24*$Y$2)</f>
        <v>0.39960000000000007</v>
      </c>
      <c r="AJ24" s="9">
        <v>1</v>
      </c>
      <c r="AK24" s="3">
        <f t="shared" si="12"/>
        <v>0.97044553354850815</v>
      </c>
      <c r="AL24" s="3">
        <f t="shared" si="13"/>
        <v>0.91393118527122819</v>
      </c>
      <c r="AM24" s="3">
        <f t="shared" si="14"/>
        <v>0.81058424597018708</v>
      </c>
      <c r="AN24" s="3">
        <f t="shared" si="15"/>
        <v>0.71892373343192617</v>
      </c>
      <c r="AO24" s="3">
        <f t="shared" si="16"/>
        <v>0.56552543869953709</v>
      </c>
      <c r="AP24" s="3">
        <f t="shared" si="17"/>
        <v>0.4</v>
      </c>
      <c r="AQ24" s="3">
        <f t="shared" si="18"/>
        <v>0.4</v>
      </c>
      <c r="AR24" s="3">
        <f t="shared" si="19"/>
        <v>0.4</v>
      </c>
      <c r="AS24" s="3">
        <f t="shared" si="20"/>
        <v>0.4</v>
      </c>
    </row>
    <row r="25" spans="1:45" x14ac:dyDescent="0.25">
      <c r="A25" s="1" t="s">
        <v>3</v>
      </c>
      <c r="B25" s="1">
        <v>0.5</v>
      </c>
      <c r="C25" s="3">
        <f t="shared" si="21"/>
        <v>0.96947508801495974</v>
      </c>
      <c r="D25" s="3">
        <f t="shared" si="0"/>
        <v>0.99900000000000011</v>
      </c>
      <c r="E25" s="3">
        <f t="shared" si="0"/>
        <v>0.96947508801495974</v>
      </c>
      <c r="F25" s="3">
        <f t="shared" si="0"/>
        <v>0.91301725408595702</v>
      </c>
      <c r="G25" s="3">
        <f t="shared" si="0"/>
        <v>0.8598472684486328</v>
      </c>
      <c r="H25" s="3">
        <f t="shared" si="0"/>
        <v>0.76261611484251635</v>
      </c>
      <c r="I25" s="3">
        <f t="shared" si="0"/>
        <v>0.56495991326083761</v>
      </c>
      <c r="J25" s="3">
        <f t="shared" si="0"/>
        <v>0.41853259769839141</v>
      </c>
      <c r="K25" s="3">
        <f t="shared" si="0"/>
        <v>0.39960000000000007</v>
      </c>
      <c r="L25" s="3">
        <f t="shared" si="0"/>
        <v>0.39960000000000007</v>
      </c>
      <c r="M25" s="3">
        <f t="shared" si="0"/>
        <v>0.97044553354850815</v>
      </c>
      <c r="N25" s="3">
        <f t="shared" si="0"/>
        <v>1</v>
      </c>
      <c r="O25" s="3">
        <f t="shared" si="0"/>
        <v>0.97044553354850815</v>
      </c>
      <c r="P25" s="3">
        <f t="shared" si="0"/>
        <v>0.91393118527122819</v>
      </c>
      <c r="Q25" s="3">
        <f t="shared" si="0"/>
        <v>0.86070797642505781</v>
      </c>
      <c r="R25" s="3">
        <f t="shared" si="0"/>
        <v>0.76337949433685315</v>
      </c>
      <c r="S25" s="3">
        <f t="shared" si="0"/>
        <v>0.56552543869953709</v>
      </c>
      <c r="T25" s="3">
        <f t="shared" si="1"/>
        <v>0.418951549247639</v>
      </c>
      <c r="U25" s="3">
        <f t="shared" si="1"/>
        <v>0.4</v>
      </c>
      <c r="V25" s="3">
        <f t="shared" si="1"/>
        <v>0.4</v>
      </c>
      <c r="X25" s="1" t="s">
        <v>3</v>
      </c>
      <c r="Y25" s="1">
        <v>0.5</v>
      </c>
      <c r="Z25" s="3">
        <f t="shared" si="22"/>
        <v>0.96947508801495974</v>
      </c>
      <c r="AA25" s="3">
        <f t="shared" si="2"/>
        <v>0.99900000000000011</v>
      </c>
      <c r="AB25" s="3">
        <f t="shared" si="3"/>
        <v>0.96947508801495974</v>
      </c>
      <c r="AC25" s="3">
        <f t="shared" si="4"/>
        <v>0.91301725408595702</v>
      </c>
      <c r="AD25" s="3">
        <f t="shared" si="5"/>
        <v>0.8598472684486328</v>
      </c>
      <c r="AE25" s="3">
        <f t="shared" si="6"/>
        <v>0.76261611484251635</v>
      </c>
      <c r="AF25" s="3">
        <f t="shared" si="7"/>
        <v>0.56495991326083761</v>
      </c>
      <c r="AG25" s="3">
        <f t="shared" si="8"/>
        <v>0.41853259769839141</v>
      </c>
      <c r="AH25" s="3">
        <f t="shared" si="9"/>
        <v>0.39960000000000007</v>
      </c>
      <c r="AI25" s="3">
        <f t="shared" si="24"/>
        <v>0.39960000000000007</v>
      </c>
      <c r="AJ25" s="3">
        <f t="shared" si="11"/>
        <v>0.97044553354850815</v>
      </c>
      <c r="AK25" s="9">
        <v>1</v>
      </c>
      <c r="AL25" s="3">
        <f t="shared" si="13"/>
        <v>0.97044553354850815</v>
      </c>
      <c r="AM25" s="3">
        <f t="shared" si="14"/>
        <v>0.91393118527122819</v>
      </c>
      <c r="AN25" s="3">
        <f t="shared" si="15"/>
        <v>0.86070797642505781</v>
      </c>
      <c r="AO25" s="3">
        <f t="shared" si="16"/>
        <v>0.76337949433685315</v>
      </c>
      <c r="AP25" s="3">
        <f t="shared" si="17"/>
        <v>0.56552543869953709</v>
      </c>
      <c r="AQ25" s="3">
        <f t="shared" si="18"/>
        <v>0.418951549247639</v>
      </c>
      <c r="AR25" s="3">
        <f t="shared" si="19"/>
        <v>0.4</v>
      </c>
      <c r="AS25" s="3">
        <f t="shared" si="20"/>
        <v>0.4</v>
      </c>
    </row>
    <row r="26" spans="1:45" x14ac:dyDescent="0.25">
      <c r="A26" s="1" t="s">
        <v>3</v>
      </c>
      <c r="B26" s="1">
        <v>1</v>
      </c>
      <c r="C26" s="3">
        <f t="shared" si="21"/>
        <v>0.91301725408595702</v>
      </c>
      <c r="D26" s="3">
        <f t="shared" si="0"/>
        <v>0.96947508801495974</v>
      </c>
      <c r="E26" s="3">
        <f t="shared" si="0"/>
        <v>0.99900000000000011</v>
      </c>
      <c r="F26" s="3">
        <f t="shared" si="0"/>
        <v>0.96947508801495974</v>
      </c>
      <c r="G26" s="3">
        <f t="shared" si="0"/>
        <v>0.94082276905066453</v>
      </c>
      <c r="H26" s="3">
        <f t="shared" si="0"/>
        <v>0.88603351628044047</v>
      </c>
      <c r="I26" s="3">
        <f t="shared" si="0"/>
        <v>0.76261611484251635</v>
      </c>
      <c r="J26" s="3">
        <f t="shared" si="0"/>
        <v>0.65638977299524182</v>
      </c>
      <c r="K26" s="3">
        <f t="shared" si="0"/>
        <v>0.56495991326083761</v>
      </c>
      <c r="L26" s="3">
        <f t="shared" si="0"/>
        <v>0.41853259769839141</v>
      </c>
      <c r="M26" s="3">
        <f t="shared" si="0"/>
        <v>0.91393118527122819</v>
      </c>
      <c r="N26" s="3">
        <f t="shared" si="0"/>
        <v>0.97044553354850815</v>
      </c>
      <c r="O26" s="3">
        <f t="shared" si="0"/>
        <v>1</v>
      </c>
      <c r="P26" s="3">
        <f t="shared" si="0"/>
        <v>0.97044553354850815</v>
      </c>
      <c r="Q26" s="3">
        <f t="shared" si="0"/>
        <v>0.94176453358424872</v>
      </c>
      <c r="R26" s="3">
        <f t="shared" si="0"/>
        <v>0.88692043671715748</v>
      </c>
      <c r="S26" s="3">
        <f t="shared" si="0"/>
        <v>0.76337949433685315</v>
      </c>
      <c r="T26" s="3">
        <f t="shared" si="1"/>
        <v>0.65704681981505675</v>
      </c>
      <c r="U26" s="3">
        <f t="shared" si="1"/>
        <v>0.56552543869953709</v>
      </c>
      <c r="V26" s="3">
        <f t="shared" si="1"/>
        <v>0.418951549247639</v>
      </c>
      <c r="X26" s="1" t="s">
        <v>3</v>
      </c>
      <c r="Y26" s="1">
        <v>1</v>
      </c>
      <c r="Z26" s="3">
        <f t="shared" ref="Z26:Z33" si="25">+IF(C26*$Y$2&gt;1,1,C26*$Y$2)</f>
        <v>0.91301725408595702</v>
      </c>
      <c r="AA26" s="3">
        <f t="shared" si="2"/>
        <v>0.96947508801495974</v>
      </c>
      <c r="AB26" s="3">
        <f t="shared" si="3"/>
        <v>0.99900000000000011</v>
      </c>
      <c r="AC26" s="3">
        <f t="shared" si="4"/>
        <v>0.96947508801495974</v>
      </c>
      <c r="AD26" s="3">
        <f t="shared" si="5"/>
        <v>0.94082276905066453</v>
      </c>
      <c r="AE26" s="3">
        <f t="shared" si="6"/>
        <v>0.88603351628044047</v>
      </c>
      <c r="AF26" s="3">
        <f t="shared" si="7"/>
        <v>0.76261611484251635</v>
      </c>
      <c r="AG26" s="3">
        <f t="shared" si="8"/>
        <v>0.65638977299524182</v>
      </c>
      <c r="AH26" s="3">
        <f t="shared" si="9"/>
        <v>0.56495991326083761</v>
      </c>
      <c r="AI26" s="3">
        <f t="shared" si="24"/>
        <v>0.41853259769839141</v>
      </c>
      <c r="AJ26" s="3">
        <f t="shared" si="11"/>
        <v>0.91393118527122819</v>
      </c>
      <c r="AK26" s="3">
        <f t="shared" si="12"/>
        <v>0.97044553354850815</v>
      </c>
      <c r="AL26" s="9">
        <v>1</v>
      </c>
      <c r="AM26" s="3">
        <f t="shared" si="14"/>
        <v>0.97044553354850815</v>
      </c>
      <c r="AN26" s="3">
        <f t="shared" si="15"/>
        <v>0.94176453358424872</v>
      </c>
      <c r="AO26" s="3">
        <f t="shared" si="16"/>
        <v>0.88692043671715748</v>
      </c>
      <c r="AP26" s="3">
        <f t="shared" si="17"/>
        <v>0.76337949433685315</v>
      </c>
      <c r="AQ26" s="3">
        <f t="shared" si="18"/>
        <v>0.65704681981505675</v>
      </c>
      <c r="AR26" s="3">
        <f t="shared" si="19"/>
        <v>0.56552543869953709</v>
      </c>
      <c r="AS26" s="3">
        <f t="shared" si="20"/>
        <v>0.418951549247639</v>
      </c>
    </row>
    <row r="27" spans="1:45" x14ac:dyDescent="0.25">
      <c r="A27" s="1" t="s">
        <v>3</v>
      </c>
      <c r="B27" s="1">
        <v>2</v>
      </c>
      <c r="C27" s="3">
        <f t="shared" si="21"/>
        <v>0.80977366172421694</v>
      </c>
      <c r="D27" s="3">
        <f t="shared" si="0"/>
        <v>0.91301725408595702</v>
      </c>
      <c r="E27" s="3">
        <f t="shared" si="0"/>
        <v>0.96947508801495974</v>
      </c>
      <c r="F27" s="3">
        <f t="shared" si="0"/>
        <v>0.99900000000000011</v>
      </c>
      <c r="G27" s="3">
        <f t="shared" si="0"/>
        <v>0.98412682766345971</v>
      </c>
      <c r="H27" s="3">
        <f t="shared" si="0"/>
        <v>0.95504148435126701</v>
      </c>
      <c r="I27" s="3">
        <f t="shared" si="0"/>
        <v>0.88603351628044047</v>
      </c>
      <c r="J27" s="3">
        <f t="shared" si="0"/>
        <v>0.82201182339796253</v>
      </c>
      <c r="K27" s="3">
        <f t="shared" si="0"/>
        <v>0.76261611484251635</v>
      </c>
      <c r="L27" s="3">
        <f t="shared" si="0"/>
        <v>0.65638977299524182</v>
      </c>
      <c r="M27" s="3">
        <f t="shared" si="0"/>
        <v>0.81058424597018708</v>
      </c>
      <c r="N27" s="3">
        <f t="shared" si="0"/>
        <v>0.91393118527122819</v>
      </c>
      <c r="O27" s="3">
        <f t="shared" si="0"/>
        <v>0.97044553354850815</v>
      </c>
      <c r="P27" s="3">
        <f t="shared" si="0"/>
        <v>1</v>
      </c>
      <c r="Q27" s="3">
        <f t="shared" si="0"/>
        <v>0.98511193960306265</v>
      </c>
      <c r="R27" s="3">
        <f t="shared" si="0"/>
        <v>0.95599748183309996</v>
      </c>
      <c r="S27" s="3">
        <f t="shared" si="0"/>
        <v>0.88692043671715748</v>
      </c>
      <c r="T27" s="3">
        <f t="shared" si="1"/>
        <v>0.82283465805601841</v>
      </c>
      <c r="U27" s="3">
        <f t="shared" si="1"/>
        <v>0.76337949433685315</v>
      </c>
      <c r="V27" s="3">
        <f t="shared" si="1"/>
        <v>0.65704681981505675</v>
      </c>
      <c r="X27" s="1" t="s">
        <v>3</v>
      </c>
      <c r="Y27" s="1">
        <v>2</v>
      </c>
      <c r="Z27" s="3">
        <f t="shared" si="25"/>
        <v>0.80977366172421694</v>
      </c>
      <c r="AA27" s="3">
        <f t="shared" si="2"/>
        <v>0.91301725408595702</v>
      </c>
      <c r="AB27" s="3">
        <f t="shared" si="3"/>
        <v>0.96947508801495974</v>
      </c>
      <c r="AC27" s="3">
        <f t="shared" si="4"/>
        <v>0.99900000000000011</v>
      </c>
      <c r="AD27" s="3">
        <f t="shared" si="5"/>
        <v>0.98412682766345971</v>
      </c>
      <c r="AE27" s="3">
        <f t="shared" si="6"/>
        <v>0.95504148435126701</v>
      </c>
      <c r="AF27" s="3">
        <f t="shared" si="7"/>
        <v>0.88603351628044047</v>
      </c>
      <c r="AG27" s="3">
        <f t="shared" si="8"/>
        <v>0.82201182339796253</v>
      </c>
      <c r="AH27" s="3">
        <f t="shared" si="9"/>
        <v>0.76261611484251635</v>
      </c>
      <c r="AI27" s="3">
        <f t="shared" si="24"/>
        <v>0.65638977299524182</v>
      </c>
      <c r="AJ27" s="3">
        <f t="shared" si="11"/>
        <v>0.81058424597018708</v>
      </c>
      <c r="AK27" s="3">
        <f t="shared" si="12"/>
        <v>0.91393118527122819</v>
      </c>
      <c r="AL27" s="3">
        <f t="shared" si="13"/>
        <v>0.97044553354850815</v>
      </c>
      <c r="AM27" s="9">
        <v>1</v>
      </c>
      <c r="AN27" s="3">
        <f t="shared" si="15"/>
        <v>0.98511193960306265</v>
      </c>
      <c r="AO27" s="3">
        <f t="shared" si="16"/>
        <v>0.95599748183309996</v>
      </c>
      <c r="AP27" s="3">
        <f t="shared" si="17"/>
        <v>0.88692043671715748</v>
      </c>
      <c r="AQ27" s="3">
        <f t="shared" si="18"/>
        <v>0.82283465805601841</v>
      </c>
      <c r="AR27" s="3">
        <f t="shared" si="19"/>
        <v>0.76337949433685315</v>
      </c>
      <c r="AS27" s="3">
        <f t="shared" si="20"/>
        <v>0.65704681981505675</v>
      </c>
    </row>
    <row r="28" spans="1:45" x14ac:dyDescent="0.25">
      <c r="A28" s="1" t="s">
        <v>3</v>
      </c>
      <c r="B28" s="1">
        <v>3</v>
      </c>
      <c r="C28" s="3">
        <f t="shared" si="21"/>
        <v>0.71820480969849432</v>
      </c>
      <c r="D28" s="3">
        <f t="shared" si="0"/>
        <v>0.8598472684486328</v>
      </c>
      <c r="E28" s="3">
        <f t="shared" si="0"/>
        <v>0.94082276905066453</v>
      </c>
      <c r="F28" s="3">
        <f t="shared" si="0"/>
        <v>0.98412682766345971</v>
      </c>
      <c r="G28" s="3">
        <f t="shared" si="0"/>
        <v>0.99900000000000011</v>
      </c>
      <c r="H28" s="3">
        <f t="shared" si="0"/>
        <v>0.97921847463344858</v>
      </c>
      <c r="I28" s="3">
        <f t="shared" si="0"/>
        <v>0.93146142608604243</v>
      </c>
      <c r="J28" s="3">
        <f t="shared" si="0"/>
        <v>0.88603351628044047</v>
      </c>
      <c r="K28" s="3">
        <f t="shared" si="0"/>
        <v>0.84282115177978745</v>
      </c>
      <c r="L28" s="3">
        <f t="shared" si="0"/>
        <v>0.76261611484251635</v>
      </c>
      <c r="M28" s="3">
        <f t="shared" si="0"/>
        <v>0.71892373343192617</v>
      </c>
      <c r="N28" s="3">
        <f t="shared" si="0"/>
        <v>0.86070797642505781</v>
      </c>
      <c r="O28" s="3">
        <f t="shared" si="0"/>
        <v>0.94176453358424872</v>
      </c>
      <c r="P28" s="3">
        <f t="shared" si="0"/>
        <v>0.98511193960306265</v>
      </c>
      <c r="Q28" s="3">
        <f t="shared" si="0"/>
        <v>1</v>
      </c>
      <c r="R28" s="3">
        <f t="shared" si="0"/>
        <v>0.98019867330675525</v>
      </c>
      <c r="S28" s="3">
        <f t="shared" si="0"/>
        <v>0.93239381990594827</v>
      </c>
      <c r="T28" s="3">
        <f t="shared" si="1"/>
        <v>0.88692043671715748</v>
      </c>
      <c r="U28" s="3">
        <f t="shared" si="1"/>
        <v>0.8436648165963837</v>
      </c>
      <c r="V28" s="3">
        <f t="shared" si="1"/>
        <v>0.76337949433685315</v>
      </c>
      <c r="X28" s="1" t="s">
        <v>3</v>
      </c>
      <c r="Y28" s="1">
        <v>3</v>
      </c>
      <c r="Z28" s="3">
        <f t="shared" si="25"/>
        <v>0.71820480969849432</v>
      </c>
      <c r="AA28" s="3">
        <f t="shared" si="2"/>
        <v>0.8598472684486328</v>
      </c>
      <c r="AB28" s="3">
        <f t="shared" si="3"/>
        <v>0.94082276905066453</v>
      </c>
      <c r="AC28" s="3">
        <f t="shared" si="4"/>
        <v>0.98412682766345971</v>
      </c>
      <c r="AD28" s="3">
        <f t="shared" si="5"/>
        <v>0.99900000000000011</v>
      </c>
      <c r="AE28" s="3">
        <f t="shared" si="6"/>
        <v>0.97921847463344858</v>
      </c>
      <c r="AF28" s="3">
        <f t="shared" si="7"/>
        <v>0.93146142608604243</v>
      </c>
      <c r="AG28" s="3">
        <f t="shared" si="8"/>
        <v>0.88603351628044047</v>
      </c>
      <c r="AH28" s="3">
        <f t="shared" si="9"/>
        <v>0.84282115177978745</v>
      </c>
      <c r="AI28" s="3">
        <f t="shared" si="24"/>
        <v>0.76261611484251635</v>
      </c>
      <c r="AJ28" s="3">
        <f t="shared" si="11"/>
        <v>0.71892373343192617</v>
      </c>
      <c r="AK28" s="3">
        <f t="shared" si="12"/>
        <v>0.86070797642505781</v>
      </c>
      <c r="AL28" s="3">
        <f t="shared" si="13"/>
        <v>0.94176453358424872</v>
      </c>
      <c r="AM28" s="3">
        <f t="shared" si="14"/>
        <v>0.98511193960306265</v>
      </c>
      <c r="AN28" s="9">
        <v>1</v>
      </c>
      <c r="AO28" s="3">
        <f t="shared" si="16"/>
        <v>0.98019867330675525</v>
      </c>
      <c r="AP28" s="3">
        <f t="shared" si="17"/>
        <v>0.93239381990594827</v>
      </c>
      <c r="AQ28" s="3">
        <f t="shared" si="18"/>
        <v>0.88692043671715748</v>
      </c>
      <c r="AR28" s="3">
        <f t="shared" si="19"/>
        <v>0.8436648165963837</v>
      </c>
      <c r="AS28" s="3">
        <f t="shared" si="20"/>
        <v>0.76337949433685315</v>
      </c>
    </row>
    <row r="29" spans="1:45" x14ac:dyDescent="0.25">
      <c r="A29" s="1" t="s">
        <v>3</v>
      </c>
      <c r="B29" s="1">
        <v>5</v>
      </c>
      <c r="C29" s="3">
        <f t="shared" si="21"/>
        <v>0.56495991326083761</v>
      </c>
      <c r="D29" s="3">
        <f t="shared" si="0"/>
        <v>0.76261611484251635</v>
      </c>
      <c r="E29" s="3">
        <f t="shared" si="0"/>
        <v>0.88603351628044047</v>
      </c>
      <c r="F29" s="3">
        <f t="shared" si="0"/>
        <v>0.95504148435126701</v>
      </c>
      <c r="G29" s="3">
        <f t="shared" si="0"/>
        <v>0.97921847463344858</v>
      </c>
      <c r="H29" s="3">
        <f t="shared" si="0"/>
        <v>0.99900000000000011</v>
      </c>
      <c r="I29" s="3">
        <f t="shared" si="0"/>
        <v>0.96947508801495974</v>
      </c>
      <c r="J29" s="3">
        <f t="shared" si="0"/>
        <v>0.94082276905066453</v>
      </c>
      <c r="K29" s="3">
        <f t="shared" si="0"/>
        <v>0.91301725408595702</v>
      </c>
      <c r="L29" s="3">
        <f t="shared" si="0"/>
        <v>0.8598472684486328</v>
      </c>
      <c r="M29" s="3">
        <f t="shared" si="0"/>
        <v>0.56552543869953709</v>
      </c>
      <c r="N29" s="3">
        <f t="shared" si="0"/>
        <v>0.76337949433685315</v>
      </c>
      <c r="O29" s="3">
        <f t="shared" si="0"/>
        <v>0.88692043671715748</v>
      </c>
      <c r="P29" s="3">
        <f t="shared" si="0"/>
        <v>0.95599748183309996</v>
      </c>
      <c r="Q29" s="3">
        <f t="shared" si="0"/>
        <v>0.98019867330675525</v>
      </c>
      <c r="R29" s="3">
        <f t="shared" si="0"/>
        <v>1</v>
      </c>
      <c r="S29" s="3">
        <f t="shared" ref="S29:S33" si="26">+IF(S$12&lt;&gt;$A29,99.9%,1)*MAX(EXP(-$B$2*(ABS(S$13-$B29)/MIN(S$13,$B29))),40%)</f>
        <v>0.97044553354850815</v>
      </c>
      <c r="T29" s="3">
        <f t="shared" si="1"/>
        <v>0.94176453358424872</v>
      </c>
      <c r="U29" s="3">
        <f t="shared" si="1"/>
        <v>0.91393118527122819</v>
      </c>
      <c r="V29" s="3">
        <f t="shared" si="1"/>
        <v>0.86070797642505781</v>
      </c>
      <c r="X29" s="1" t="s">
        <v>3</v>
      </c>
      <c r="Y29" s="1">
        <v>5</v>
      </c>
      <c r="Z29" s="3">
        <f t="shared" si="25"/>
        <v>0.56495991326083761</v>
      </c>
      <c r="AA29" s="3">
        <f t="shared" si="2"/>
        <v>0.76261611484251635</v>
      </c>
      <c r="AB29" s="3">
        <f t="shared" si="3"/>
        <v>0.88603351628044047</v>
      </c>
      <c r="AC29" s="3">
        <f t="shared" si="4"/>
        <v>0.95504148435126701</v>
      </c>
      <c r="AD29" s="3">
        <f t="shared" si="5"/>
        <v>0.97921847463344858</v>
      </c>
      <c r="AE29" s="3">
        <f t="shared" si="6"/>
        <v>0.99900000000000011</v>
      </c>
      <c r="AF29" s="3">
        <f t="shared" si="7"/>
        <v>0.96947508801495974</v>
      </c>
      <c r="AG29" s="3">
        <f t="shared" si="8"/>
        <v>0.94082276905066453</v>
      </c>
      <c r="AH29" s="3">
        <f t="shared" si="9"/>
        <v>0.91301725408595702</v>
      </c>
      <c r="AI29" s="3">
        <f t="shared" si="24"/>
        <v>0.8598472684486328</v>
      </c>
      <c r="AJ29" s="3">
        <f t="shared" si="11"/>
        <v>0.56552543869953709</v>
      </c>
      <c r="AK29" s="3">
        <f t="shared" si="12"/>
        <v>0.76337949433685315</v>
      </c>
      <c r="AL29" s="3">
        <f t="shared" si="13"/>
        <v>0.88692043671715748</v>
      </c>
      <c r="AM29" s="3">
        <f t="shared" si="14"/>
        <v>0.95599748183309996</v>
      </c>
      <c r="AN29" s="3">
        <f t="shared" si="15"/>
        <v>0.98019867330675525</v>
      </c>
      <c r="AO29" s="9">
        <v>1</v>
      </c>
      <c r="AP29" s="3">
        <f t="shared" si="17"/>
        <v>0.97044553354850815</v>
      </c>
      <c r="AQ29" s="3">
        <f t="shared" si="18"/>
        <v>0.94176453358424872</v>
      </c>
      <c r="AR29" s="3">
        <f t="shared" si="19"/>
        <v>0.91393118527122819</v>
      </c>
      <c r="AS29" s="3">
        <f t="shared" si="20"/>
        <v>0.86070797642505781</v>
      </c>
    </row>
    <row r="30" spans="1:45" x14ac:dyDescent="0.25">
      <c r="A30" s="1" t="s">
        <v>3</v>
      </c>
      <c r="B30" s="1">
        <v>10</v>
      </c>
      <c r="C30" s="3">
        <f t="shared" si="21"/>
        <v>0.39960000000000007</v>
      </c>
      <c r="D30" s="3">
        <f t="shared" si="21"/>
        <v>0.56495991326083761</v>
      </c>
      <c r="E30" s="3">
        <f t="shared" si="21"/>
        <v>0.76261611484251635</v>
      </c>
      <c r="F30" s="3">
        <f t="shared" si="21"/>
        <v>0.88603351628044047</v>
      </c>
      <c r="G30" s="3">
        <f t="shared" si="21"/>
        <v>0.93146142608604243</v>
      </c>
      <c r="H30" s="3">
        <f t="shared" si="21"/>
        <v>0.96947508801495974</v>
      </c>
      <c r="I30" s="3">
        <f t="shared" si="21"/>
        <v>0.99900000000000011</v>
      </c>
      <c r="J30" s="3">
        <f t="shared" si="21"/>
        <v>0.98412682766345971</v>
      </c>
      <c r="K30" s="3">
        <f t="shared" si="21"/>
        <v>0.96947508801495974</v>
      </c>
      <c r="L30" s="3">
        <f t="shared" si="21"/>
        <v>0.94082276905066453</v>
      </c>
      <c r="M30" s="3">
        <f t="shared" si="21"/>
        <v>0.4</v>
      </c>
      <c r="N30" s="3">
        <f t="shared" si="21"/>
        <v>0.56552543869953709</v>
      </c>
      <c r="O30" s="3">
        <f t="shared" si="21"/>
        <v>0.76337949433685315</v>
      </c>
      <c r="P30" s="3">
        <f t="shared" si="21"/>
        <v>0.88692043671715748</v>
      </c>
      <c r="Q30" s="3">
        <f t="shared" si="21"/>
        <v>0.93239381990594827</v>
      </c>
      <c r="R30" s="3">
        <f t="shared" si="21"/>
        <v>0.97044553354850815</v>
      </c>
      <c r="S30" s="3">
        <f t="shared" si="26"/>
        <v>1</v>
      </c>
      <c r="T30" s="3">
        <f t="shared" si="1"/>
        <v>0.98511193960306265</v>
      </c>
      <c r="U30" s="3">
        <f t="shared" si="1"/>
        <v>0.97044553354850815</v>
      </c>
      <c r="V30" s="3">
        <f t="shared" si="1"/>
        <v>0.94176453358424872</v>
      </c>
      <c r="X30" s="1" t="s">
        <v>3</v>
      </c>
      <c r="Y30" s="1">
        <v>10</v>
      </c>
      <c r="Z30" s="3">
        <f t="shared" si="25"/>
        <v>0.39960000000000007</v>
      </c>
      <c r="AA30" s="3">
        <f t="shared" si="2"/>
        <v>0.56495991326083761</v>
      </c>
      <c r="AB30" s="3">
        <f t="shared" si="3"/>
        <v>0.76261611484251635</v>
      </c>
      <c r="AC30" s="3">
        <f t="shared" si="4"/>
        <v>0.88603351628044047</v>
      </c>
      <c r="AD30" s="3">
        <f t="shared" si="5"/>
        <v>0.93146142608604243</v>
      </c>
      <c r="AE30" s="3">
        <f t="shared" si="6"/>
        <v>0.96947508801495974</v>
      </c>
      <c r="AF30" s="3">
        <f t="shared" si="7"/>
        <v>0.99900000000000011</v>
      </c>
      <c r="AG30" s="3">
        <f t="shared" si="8"/>
        <v>0.98412682766345971</v>
      </c>
      <c r="AH30" s="3">
        <f t="shared" si="9"/>
        <v>0.96947508801495974</v>
      </c>
      <c r="AI30" s="3">
        <f t="shared" si="24"/>
        <v>0.94082276905066453</v>
      </c>
      <c r="AJ30" s="3">
        <f t="shared" si="11"/>
        <v>0.4</v>
      </c>
      <c r="AK30" s="3">
        <f t="shared" si="12"/>
        <v>0.56552543869953709</v>
      </c>
      <c r="AL30" s="3">
        <f t="shared" si="13"/>
        <v>0.76337949433685315</v>
      </c>
      <c r="AM30" s="3">
        <f t="shared" si="14"/>
        <v>0.88692043671715748</v>
      </c>
      <c r="AN30" s="3">
        <f t="shared" si="15"/>
        <v>0.93239381990594827</v>
      </c>
      <c r="AO30" s="3">
        <f t="shared" si="16"/>
        <v>0.97044553354850815</v>
      </c>
      <c r="AP30" s="9">
        <v>1</v>
      </c>
      <c r="AQ30" s="3">
        <f t="shared" si="18"/>
        <v>0.98511193960306265</v>
      </c>
      <c r="AR30" s="3">
        <f t="shared" si="19"/>
        <v>0.97044553354850815</v>
      </c>
      <c r="AS30" s="3">
        <f t="shared" si="20"/>
        <v>0.94176453358424872</v>
      </c>
    </row>
    <row r="31" spans="1:45" x14ac:dyDescent="0.25">
      <c r="A31" s="1" t="s">
        <v>3</v>
      </c>
      <c r="B31" s="1">
        <v>15</v>
      </c>
      <c r="C31" s="3">
        <f t="shared" ref="C31:R33" si="27">+IF(C$12&lt;&gt;$A31,99.9%,1)*MAX(EXP(-$B$2*(ABS(C$13-$B31)/MIN(C$13,$B31))),40%)</f>
        <v>0.39960000000000007</v>
      </c>
      <c r="D31" s="3">
        <f t="shared" si="27"/>
        <v>0.41853259769839141</v>
      </c>
      <c r="E31" s="3">
        <f t="shared" si="27"/>
        <v>0.65638977299524182</v>
      </c>
      <c r="F31" s="3">
        <f t="shared" si="27"/>
        <v>0.82201182339796253</v>
      </c>
      <c r="G31" s="3">
        <f t="shared" si="27"/>
        <v>0.88603351628044047</v>
      </c>
      <c r="H31" s="3">
        <f t="shared" si="27"/>
        <v>0.94082276905066453</v>
      </c>
      <c r="I31" s="3">
        <f t="shared" si="27"/>
        <v>0.98412682766345971</v>
      </c>
      <c r="J31" s="3">
        <f t="shared" si="27"/>
        <v>0.99900000000000011</v>
      </c>
      <c r="K31" s="3">
        <f t="shared" si="27"/>
        <v>0.98905978391541904</v>
      </c>
      <c r="L31" s="3">
        <f t="shared" si="27"/>
        <v>0.96947508801495974</v>
      </c>
      <c r="M31" s="3">
        <f t="shared" si="27"/>
        <v>0.4</v>
      </c>
      <c r="N31" s="3">
        <f t="shared" si="27"/>
        <v>0.418951549247639</v>
      </c>
      <c r="O31" s="3">
        <f t="shared" si="27"/>
        <v>0.65704681981505675</v>
      </c>
      <c r="P31" s="3">
        <f t="shared" si="27"/>
        <v>0.82283465805601841</v>
      </c>
      <c r="Q31" s="3">
        <f t="shared" si="27"/>
        <v>0.88692043671715748</v>
      </c>
      <c r="R31" s="3">
        <f t="shared" si="27"/>
        <v>0.94176453358424872</v>
      </c>
      <c r="S31" s="3">
        <f t="shared" si="26"/>
        <v>0.98511193960306265</v>
      </c>
      <c r="T31" s="3">
        <f t="shared" si="1"/>
        <v>1</v>
      </c>
      <c r="U31" s="3">
        <f t="shared" si="1"/>
        <v>0.99004983374916811</v>
      </c>
      <c r="V31" s="3">
        <f t="shared" si="1"/>
        <v>0.97044553354850815</v>
      </c>
      <c r="X31" s="1" t="s">
        <v>3</v>
      </c>
      <c r="Y31" s="1">
        <v>15</v>
      </c>
      <c r="Z31" s="3">
        <f t="shared" si="25"/>
        <v>0.39960000000000007</v>
      </c>
      <c r="AA31" s="3">
        <f t="shared" si="2"/>
        <v>0.41853259769839141</v>
      </c>
      <c r="AB31" s="3">
        <f t="shared" si="3"/>
        <v>0.65638977299524182</v>
      </c>
      <c r="AC31" s="3">
        <f t="shared" si="4"/>
        <v>0.82201182339796253</v>
      </c>
      <c r="AD31" s="3">
        <f t="shared" si="5"/>
        <v>0.88603351628044047</v>
      </c>
      <c r="AE31" s="3">
        <f t="shared" si="6"/>
        <v>0.94082276905066453</v>
      </c>
      <c r="AF31" s="3">
        <f t="shared" si="7"/>
        <v>0.98412682766345971</v>
      </c>
      <c r="AG31" s="3">
        <f t="shared" si="8"/>
        <v>0.99900000000000011</v>
      </c>
      <c r="AH31" s="3">
        <f t="shared" si="9"/>
        <v>0.98905978391541904</v>
      </c>
      <c r="AI31" s="3">
        <f t="shared" si="24"/>
        <v>0.96947508801495974</v>
      </c>
      <c r="AJ31" s="3">
        <f t="shared" si="11"/>
        <v>0.4</v>
      </c>
      <c r="AK31" s="3">
        <f t="shared" si="12"/>
        <v>0.418951549247639</v>
      </c>
      <c r="AL31" s="3">
        <f t="shared" si="13"/>
        <v>0.65704681981505675</v>
      </c>
      <c r="AM31" s="3">
        <f t="shared" si="14"/>
        <v>0.82283465805601841</v>
      </c>
      <c r="AN31" s="3">
        <f t="shared" si="15"/>
        <v>0.88692043671715748</v>
      </c>
      <c r="AO31" s="3">
        <f t="shared" si="16"/>
        <v>0.94176453358424872</v>
      </c>
      <c r="AP31" s="3">
        <f t="shared" si="17"/>
        <v>0.98511193960306265</v>
      </c>
      <c r="AQ31" s="9">
        <v>1</v>
      </c>
      <c r="AR31" s="3">
        <f t="shared" si="19"/>
        <v>0.99004983374916811</v>
      </c>
      <c r="AS31" s="3">
        <f t="shared" si="20"/>
        <v>0.97044553354850815</v>
      </c>
    </row>
    <row r="32" spans="1:45" x14ac:dyDescent="0.25">
      <c r="A32" s="1" t="s">
        <v>3</v>
      </c>
      <c r="B32" s="1">
        <v>20</v>
      </c>
      <c r="C32" s="3">
        <f t="shared" si="27"/>
        <v>0.39960000000000007</v>
      </c>
      <c r="D32" s="3">
        <f t="shared" si="27"/>
        <v>0.39960000000000007</v>
      </c>
      <c r="E32" s="3">
        <f t="shared" si="27"/>
        <v>0.56495991326083761</v>
      </c>
      <c r="F32" s="3">
        <f t="shared" si="27"/>
        <v>0.76261611484251635</v>
      </c>
      <c r="G32" s="3">
        <f t="shared" si="27"/>
        <v>0.84282115177978745</v>
      </c>
      <c r="H32" s="3">
        <f t="shared" si="27"/>
        <v>0.91301725408595702</v>
      </c>
      <c r="I32" s="3">
        <f t="shared" si="27"/>
        <v>0.96947508801495974</v>
      </c>
      <c r="J32" s="3">
        <f t="shared" si="27"/>
        <v>0.98905978391541904</v>
      </c>
      <c r="K32" s="3">
        <f t="shared" si="27"/>
        <v>0.99900000000000011</v>
      </c>
      <c r="L32" s="3">
        <f t="shared" si="27"/>
        <v>0.98412682766345971</v>
      </c>
      <c r="M32" s="3">
        <f t="shared" si="27"/>
        <v>0.4</v>
      </c>
      <c r="N32" s="3">
        <f t="shared" si="27"/>
        <v>0.4</v>
      </c>
      <c r="O32" s="3">
        <f t="shared" si="27"/>
        <v>0.56552543869953709</v>
      </c>
      <c r="P32" s="3">
        <f t="shared" si="27"/>
        <v>0.76337949433685315</v>
      </c>
      <c r="Q32" s="3">
        <f t="shared" si="27"/>
        <v>0.8436648165963837</v>
      </c>
      <c r="R32" s="3">
        <f t="shared" si="27"/>
        <v>0.91393118527122819</v>
      </c>
      <c r="S32" s="3">
        <f t="shared" si="26"/>
        <v>0.97044553354850815</v>
      </c>
      <c r="T32" s="3">
        <f t="shared" si="1"/>
        <v>0.99004983374916811</v>
      </c>
      <c r="U32" s="3">
        <f t="shared" si="1"/>
        <v>1</v>
      </c>
      <c r="V32" s="3">
        <f t="shared" si="1"/>
        <v>0.98511193960306265</v>
      </c>
      <c r="X32" s="1" t="s">
        <v>3</v>
      </c>
      <c r="Y32" s="1">
        <v>20</v>
      </c>
      <c r="Z32" s="3">
        <f t="shared" si="25"/>
        <v>0.39960000000000007</v>
      </c>
      <c r="AA32" s="3">
        <f t="shared" si="2"/>
        <v>0.39960000000000007</v>
      </c>
      <c r="AB32" s="3">
        <f t="shared" si="3"/>
        <v>0.56495991326083761</v>
      </c>
      <c r="AC32" s="3">
        <f t="shared" si="4"/>
        <v>0.76261611484251635</v>
      </c>
      <c r="AD32" s="3">
        <f t="shared" si="5"/>
        <v>0.84282115177978745</v>
      </c>
      <c r="AE32" s="3">
        <f t="shared" si="6"/>
        <v>0.91301725408595702</v>
      </c>
      <c r="AF32" s="3">
        <f t="shared" si="7"/>
        <v>0.96947508801495974</v>
      </c>
      <c r="AG32" s="3">
        <f t="shared" si="8"/>
        <v>0.98905978391541904</v>
      </c>
      <c r="AH32" s="3">
        <f t="shared" si="9"/>
        <v>0.99900000000000011</v>
      </c>
      <c r="AI32" s="3">
        <f t="shared" si="24"/>
        <v>0.98412682766345971</v>
      </c>
      <c r="AJ32" s="3">
        <f t="shared" si="11"/>
        <v>0.4</v>
      </c>
      <c r="AK32" s="3">
        <f t="shared" si="12"/>
        <v>0.4</v>
      </c>
      <c r="AL32" s="3">
        <f t="shared" si="13"/>
        <v>0.56552543869953709</v>
      </c>
      <c r="AM32" s="3">
        <f t="shared" si="14"/>
        <v>0.76337949433685315</v>
      </c>
      <c r="AN32" s="3">
        <f t="shared" si="15"/>
        <v>0.8436648165963837</v>
      </c>
      <c r="AO32" s="3">
        <f t="shared" si="16"/>
        <v>0.91393118527122819</v>
      </c>
      <c r="AP32" s="3">
        <f t="shared" si="17"/>
        <v>0.97044553354850815</v>
      </c>
      <c r="AQ32" s="3">
        <f t="shared" si="18"/>
        <v>0.99004983374916811</v>
      </c>
      <c r="AR32" s="9">
        <v>1</v>
      </c>
      <c r="AS32" s="3">
        <f t="shared" si="20"/>
        <v>0.98511193960306265</v>
      </c>
    </row>
    <row r="33" spans="1:45" x14ac:dyDescent="0.25">
      <c r="A33" s="1" t="s">
        <v>3</v>
      </c>
      <c r="B33" s="1">
        <v>30</v>
      </c>
      <c r="C33" s="3">
        <f t="shared" si="27"/>
        <v>0.39960000000000007</v>
      </c>
      <c r="D33" s="3">
        <f t="shared" si="27"/>
        <v>0.39960000000000007</v>
      </c>
      <c r="E33" s="3">
        <f t="shared" si="27"/>
        <v>0.41853259769839141</v>
      </c>
      <c r="F33" s="3">
        <f t="shared" si="27"/>
        <v>0.65638977299524182</v>
      </c>
      <c r="G33" s="3">
        <f t="shared" si="27"/>
        <v>0.76261611484251635</v>
      </c>
      <c r="H33" s="3">
        <f t="shared" si="27"/>
        <v>0.8598472684486328</v>
      </c>
      <c r="I33" s="3">
        <f t="shared" si="27"/>
        <v>0.94082276905066453</v>
      </c>
      <c r="J33" s="3">
        <f t="shared" si="27"/>
        <v>0.96947508801495974</v>
      </c>
      <c r="K33" s="3">
        <f t="shared" si="27"/>
        <v>0.98412682766345971</v>
      </c>
      <c r="L33" s="3">
        <f t="shared" si="27"/>
        <v>0.99900000000000011</v>
      </c>
      <c r="M33" s="3">
        <f t="shared" si="27"/>
        <v>0.4</v>
      </c>
      <c r="N33" s="3">
        <f t="shared" si="27"/>
        <v>0.4</v>
      </c>
      <c r="O33" s="3">
        <f t="shared" si="27"/>
        <v>0.418951549247639</v>
      </c>
      <c r="P33" s="3">
        <f t="shared" si="27"/>
        <v>0.65704681981505675</v>
      </c>
      <c r="Q33" s="3">
        <f t="shared" si="27"/>
        <v>0.76337949433685315</v>
      </c>
      <c r="R33" s="3">
        <f t="shared" si="27"/>
        <v>0.86070797642505781</v>
      </c>
      <c r="S33" s="3">
        <f t="shared" si="26"/>
        <v>0.94176453358424872</v>
      </c>
      <c r="T33" s="3">
        <f t="shared" si="1"/>
        <v>0.97044553354850815</v>
      </c>
      <c r="U33" s="3">
        <f t="shared" si="1"/>
        <v>0.98511193960306265</v>
      </c>
      <c r="V33" s="3">
        <f t="shared" si="1"/>
        <v>1</v>
      </c>
      <c r="X33" s="1" t="s">
        <v>3</v>
      </c>
      <c r="Y33" s="1">
        <v>30</v>
      </c>
      <c r="Z33" s="3">
        <f t="shared" si="25"/>
        <v>0.39960000000000007</v>
      </c>
      <c r="AA33" s="3">
        <f t="shared" si="2"/>
        <v>0.39960000000000007</v>
      </c>
      <c r="AB33" s="3">
        <f t="shared" si="3"/>
        <v>0.41853259769839141</v>
      </c>
      <c r="AC33" s="3">
        <f t="shared" si="4"/>
        <v>0.65638977299524182</v>
      </c>
      <c r="AD33" s="3">
        <f t="shared" si="5"/>
        <v>0.76261611484251635</v>
      </c>
      <c r="AE33" s="3">
        <f t="shared" si="6"/>
        <v>0.8598472684486328</v>
      </c>
      <c r="AF33" s="3">
        <f t="shared" si="7"/>
        <v>0.94082276905066453</v>
      </c>
      <c r="AG33" s="3">
        <f t="shared" si="8"/>
        <v>0.96947508801495974</v>
      </c>
      <c r="AH33" s="3">
        <f t="shared" si="9"/>
        <v>0.98412682766345971</v>
      </c>
      <c r="AI33" s="3">
        <f t="shared" si="24"/>
        <v>0.99900000000000011</v>
      </c>
      <c r="AJ33" s="3">
        <f t="shared" si="11"/>
        <v>0.4</v>
      </c>
      <c r="AK33" s="3">
        <f t="shared" si="12"/>
        <v>0.4</v>
      </c>
      <c r="AL33" s="3">
        <f t="shared" si="13"/>
        <v>0.418951549247639</v>
      </c>
      <c r="AM33" s="3">
        <f t="shared" si="14"/>
        <v>0.65704681981505675</v>
      </c>
      <c r="AN33" s="3">
        <f t="shared" si="15"/>
        <v>0.76337949433685315</v>
      </c>
      <c r="AO33" s="3">
        <f t="shared" si="16"/>
        <v>0.86070797642505781</v>
      </c>
      <c r="AP33" s="3">
        <f t="shared" si="17"/>
        <v>0.94176453358424872</v>
      </c>
      <c r="AQ33" s="3">
        <f t="shared" si="18"/>
        <v>0.97044553354850815</v>
      </c>
      <c r="AR33" s="3">
        <f t="shared" si="19"/>
        <v>0.98511193960306265</v>
      </c>
      <c r="AS33" s="9">
        <v>1</v>
      </c>
    </row>
    <row r="35" spans="1:45" x14ac:dyDescent="0.25">
      <c r="A35" s="1" t="s">
        <v>10</v>
      </c>
      <c r="X35" s="1" t="s">
        <v>10</v>
      </c>
    </row>
    <row r="36" spans="1:45" x14ac:dyDescent="0.25">
      <c r="X36" s="1" t="s">
        <v>6</v>
      </c>
    </row>
    <row r="37" spans="1:45" x14ac:dyDescent="0.25">
      <c r="B37" s="1" t="s">
        <v>0</v>
      </c>
      <c r="C37" s="2" t="str">
        <f t="array" ref="C37:V37">+TRANSPOSE(A39:A58)</f>
        <v>1M</v>
      </c>
      <c r="D37" s="2" t="str">
        <v>1M</v>
      </c>
      <c r="E37" s="2" t="str">
        <v>1M</v>
      </c>
      <c r="F37" s="2" t="str">
        <v>1M</v>
      </c>
      <c r="G37" s="2" t="str">
        <v>1M</v>
      </c>
      <c r="H37" s="2" t="str">
        <v>1M</v>
      </c>
      <c r="I37" s="2" t="str">
        <v>1M</v>
      </c>
      <c r="J37" s="2" t="str">
        <v>1M</v>
      </c>
      <c r="K37" s="2" t="str">
        <v>1M</v>
      </c>
      <c r="L37" s="2" t="str">
        <v>1M</v>
      </c>
      <c r="M37" s="2" t="str">
        <v>Inflacion</v>
      </c>
      <c r="N37" s="2" t="str">
        <v>Inflacion</v>
      </c>
      <c r="O37" s="2" t="str">
        <v>Inflacion</v>
      </c>
      <c r="P37" s="2" t="str">
        <v>Inflacion</v>
      </c>
      <c r="Q37" s="2" t="str">
        <v>Inflacion</v>
      </c>
      <c r="R37" s="2" t="str">
        <v>Inflacion</v>
      </c>
      <c r="S37" s="2" t="str">
        <v>Inflacion</v>
      </c>
      <c r="T37" s="2" t="str">
        <v>Inflacion</v>
      </c>
      <c r="U37" s="2" t="str">
        <v>Inflacion</v>
      </c>
      <c r="V37" s="2" t="str">
        <v>Inflacion</v>
      </c>
      <c r="Y37" s="1" t="s">
        <v>0</v>
      </c>
      <c r="Z37" s="2" t="str">
        <f t="array" ref="Z37:AS37">+TRANSPOSE(X39:X58)</f>
        <v>1M</v>
      </c>
      <c r="AA37" s="2" t="str">
        <v>1M</v>
      </c>
      <c r="AB37" s="2" t="str">
        <v>1M</v>
      </c>
      <c r="AC37" s="2" t="str">
        <v>1M</v>
      </c>
      <c r="AD37" s="2" t="str">
        <v>1M</v>
      </c>
      <c r="AE37" s="2" t="str">
        <v>1M</v>
      </c>
      <c r="AF37" s="2" t="str">
        <v>1M</v>
      </c>
      <c r="AG37" s="2" t="str">
        <v>1M</v>
      </c>
      <c r="AH37" s="2" t="str">
        <v>1M</v>
      </c>
      <c r="AI37" s="2" t="str">
        <v>1M</v>
      </c>
      <c r="AJ37" s="2" t="str">
        <v>Inflacion</v>
      </c>
      <c r="AK37" s="2" t="str">
        <v>Inflacion</v>
      </c>
      <c r="AL37" s="2" t="str">
        <v>Inflacion</v>
      </c>
      <c r="AM37" s="2" t="str">
        <v>Inflacion</v>
      </c>
      <c r="AN37" s="2" t="str">
        <v>Inflacion</v>
      </c>
      <c r="AO37" s="2" t="str">
        <v>Inflacion</v>
      </c>
      <c r="AP37" s="2" t="str">
        <v>Inflacion</v>
      </c>
      <c r="AQ37" s="2" t="str">
        <v>Inflacion</v>
      </c>
      <c r="AR37" s="2" t="str">
        <v>Inflacion</v>
      </c>
      <c r="AS37" s="2" t="str">
        <v>Inflacion</v>
      </c>
    </row>
    <row r="38" spans="1:45" x14ac:dyDescent="0.25">
      <c r="A38" s="1" t="s">
        <v>0</v>
      </c>
      <c r="B38" s="1" t="s">
        <v>1</v>
      </c>
      <c r="C38" s="2">
        <f t="array" ref="C38:V38">+TRANSPOSE(B39:B58)</f>
        <v>0.25</v>
      </c>
      <c r="D38" s="2">
        <v>0.5</v>
      </c>
      <c r="E38" s="2">
        <v>1</v>
      </c>
      <c r="F38" s="2">
        <v>2</v>
      </c>
      <c r="G38" s="2">
        <v>3</v>
      </c>
      <c r="H38" s="2">
        <v>5</v>
      </c>
      <c r="I38" s="2">
        <v>10</v>
      </c>
      <c r="J38" s="2">
        <v>15</v>
      </c>
      <c r="K38" s="2">
        <v>20</v>
      </c>
      <c r="L38" s="2">
        <v>30</v>
      </c>
      <c r="M38" s="2">
        <v>0.25</v>
      </c>
      <c r="N38" s="2">
        <v>0.5</v>
      </c>
      <c r="O38" s="2">
        <v>1</v>
      </c>
      <c r="P38" s="2">
        <v>2</v>
      </c>
      <c r="Q38" s="2">
        <v>3</v>
      </c>
      <c r="R38" s="2">
        <v>5</v>
      </c>
      <c r="S38" s="2">
        <v>10</v>
      </c>
      <c r="T38" s="2">
        <v>15</v>
      </c>
      <c r="U38" s="2">
        <v>20</v>
      </c>
      <c r="V38" s="2">
        <v>30</v>
      </c>
      <c r="X38" s="1" t="s">
        <v>0</v>
      </c>
      <c r="Y38" s="1" t="s">
        <v>1</v>
      </c>
      <c r="Z38" s="2">
        <f t="array" ref="Z38:AS38">+TRANSPOSE(Y39:Y58)</f>
        <v>0.25</v>
      </c>
      <c r="AA38" s="2">
        <v>0.5</v>
      </c>
      <c r="AB38" s="2">
        <v>1</v>
      </c>
      <c r="AC38" s="2">
        <v>2</v>
      </c>
      <c r="AD38" s="2">
        <v>3</v>
      </c>
      <c r="AE38" s="2">
        <v>5</v>
      </c>
      <c r="AF38" s="2">
        <v>10</v>
      </c>
      <c r="AG38" s="2">
        <v>15</v>
      </c>
      <c r="AH38" s="2">
        <v>20</v>
      </c>
      <c r="AI38" s="2">
        <v>30</v>
      </c>
      <c r="AJ38" s="2">
        <v>0.25</v>
      </c>
      <c r="AK38" s="2">
        <v>0.5</v>
      </c>
      <c r="AL38" s="2">
        <v>1</v>
      </c>
      <c r="AM38" s="2">
        <v>2</v>
      </c>
      <c r="AN38" s="2">
        <v>3</v>
      </c>
      <c r="AO38" s="2">
        <v>5</v>
      </c>
      <c r="AP38" s="2">
        <v>10</v>
      </c>
      <c r="AQ38" s="2">
        <v>15</v>
      </c>
      <c r="AR38" s="2">
        <v>20</v>
      </c>
      <c r="AS38" s="2">
        <v>30</v>
      </c>
    </row>
    <row r="39" spans="1:45" x14ac:dyDescent="0.25">
      <c r="A39" s="1" t="s">
        <v>2</v>
      </c>
      <c r="B39" s="1">
        <v>0.25</v>
      </c>
      <c r="C39" s="3">
        <f t="shared" ref="C39:L48" si="28">+IF(C$12&lt;&gt;$A39,99.9%,1)*MAX(EXP(-$B$2*(ABS(C$38-$B39)/MIN(C$38,$B39))),40%)</f>
        <v>1</v>
      </c>
      <c r="D39" s="3">
        <f t="shared" si="28"/>
        <v>0.97044553354850815</v>
      </c>
      <c r="E39" s="3">
        <f t="shared" si="28"/>
        <v>0.91393118527122819</v>
      </c>
      <c r="F39" s="3">
        <f t="shared" si="28"/>
        <v>0.81058424597018708</v>
      </c>
      <c r="G39" s="3">
        <f t="shared" si="28"/>
        <v>0.71892373343192617</v>
      </c>
      <c r="H39" s="3">
        <f t="shared" si="28"/>
        <v>0.56552543869953709</v>
      </c>
      <c r="I39" s="3">
        <f t="shared" si="28"/>
        <v>0.4</v>
      </c>
      <c r="J39" s="3">
        <f t="shared" si="28"/>
        <v>0.4</v>
      </c>
      <c r="K39" s="3">
        <f t="shared" si="28"/>
        <v>0.4</v>
      </c>
      <c r="L39" s="3">
        <f t="shared" si="28"/>
        <v>0.4</v>
      </c>
      <c r="M39" s="3">
        <v>0.4</v>
      </c>
      <c r="N39" s="3">
        <v>0.4</v>
      </c>
      <c r="O39" s="3">
        <v>0.4</v>
      </c>
      <c r="P39" s="3">
        <v>0.4</v>
      </c>
      <c r="Q39" s="3">
        <v>0.4</v>
      </c>
      <c r="R39" s="3">
        <v>0.4</v>
      </c>
      <c r="S39" s="3">
        <v>0.4</v>
      </c>
      <c r="T39" s="3">
        <v>0.4</v>
      </c>
      <c r="U39" s="3">
        <v>0.4</v>
      </c>
      <c r="V39" s="3">
        <v>0.4</v>
      </c>
      <c r="X39" s="1" t="s">
        <v>2</v>
      </c>
      <c r="Y39" s="1">
        <v>0.25</v>
      </c>
      <c r="Z39" s="9">
        <v>1</v>
      </c>
      <c r="AA39" s="3">
        <f t="shared" ref="AA39:AA58" si="29">+IF(D39*$Y$2&gt;1,1,D39*$Y$2)</f>
        <v>0.97044553354850815</v>
      </c>
      <c r="AB39" s="3">
        <f t="shared" ref="AB39:AB58" si="30">+IF(E39*$Y$2&gt;1,1,E39*$Y$2)</f>
        <v>0.91393118527122819</v>
      </c>
      <c r="AC39" s="3">
        <f t="shared" ref="AC39:AC58" si="31">+IF(F39*$Y$2&gt;1,1,F39*$Y$2)</f>
        <v>0.81058424597018708</v>
      </c>
      <c r="AD39" s="3">
        <f t="shared" ref="AD39:AD58" si="32">+IF(G39*$Y$2&gt;1,1,G39*$Y$2)</f>
        <v>0.71892373343192617</v>
      </c>
      <c r="AE39" s="3">
        <f t="shared" ref="AE39:AE58" si="33">+IF(H39*$Y$2&gt;1,1,H39*$Y$2)</f>
        <v>0.56552543869953709</v>
      </c>
      <c r="AF39" s="3">
        <f t="shared" ref="AF39:AF58" si="34">+IF(I39*$Y$2&gt;1,1,I39*$Y$2)</f>
        <v>0.4</v>
      </c>
      <c r="AG39" s="3">
        <f t="shared" ref="AG39:AG58" si="35">+IF(J39*$Y$2&gt;1,1,J39*$Y$2)</f>
        <v>0.4</v>
      </c>
      <c r="AH39" s="3">
        <f t="shared" ref="AH39:AH58" si="36">+IF(K39*$Y$2&gt;1,1,K39*$Y$2)</f>
        <v>0.4</v>
      </c>
      <c r="AI39" s="3">
        <f t="shared" ref="AI39:AI58" si="37">+IF(L39*$Y$2&gt;1,1,L39*$Y$2)</f>
        <v>0.4</v>
      </c>
      <c r="AJ39" s="3">
        <f t="shared" ref="AJ39:AJ58" si="38">+IF(M39*$Y$2&gt;1,1,M39*$Y$2)</f>
        <v>0.4</v>
      </c>
      <c r="AK39" s="3">
        <f t="shared" ref="AK39:AK58" si="39">+IF(N39*$Y$2&gt;1,1,N39*$Y$2)</f>
        <v>0.4</v>
      </c>
      <c r="AL39" s="3">
        <f t="shared" ref="AL39:AL58" si="40">+IF(O39*$Y$2&gt;1,1,O39*$Y$2)</f>
        <v>0.4</v>
      </c>
      <c r="AM39" s="3">
        <f t="shared" ref="AM39:AM58" si="41">+IF(P39*$Y$2&gt;1,1,P39*$Y$2)</f>
        <v>0.4</v>
      </c>
      <c r="AN39" s="3">
        <f t="shared" ref="AN39:AN58" si="42">+IF(Q39*$Y$2&gt;1,1,Q39*$Y$2)</f>
        <v>0.4</v>
      </c>
      <c r="AO39" s="3">
        <f t="shared" ref="AO39:AO58" si="43">+IF(R39*$Y$2&gt;1,1,R39*$Y$2)</f>
        <v>0.4</v>
      </c>
      <c r="AP39" s="3">
        <f t="shared" ref="AP39:AP58" si="44">+IF(S39*$Y$2&gt;1,1,S39*$Y$2)</f>
        <v>0.4</v>
      </c>
      <c r="AQ39" s="3">
        <f t="shared" ref="AQ39:AQ58" si="45">+IF(T39*$Y$2&gt;1,1,T39*$Y$2)</f>
        <v>0.4</v>
      </c>
      <c r="AR39" s="3">
        <f t="shared" ref="AR39:AR58" si="46">+IF(U39*$Y$2&gt;1,1,U39*$Y$2)</f>
        <v>0.4</v>
      </c>
      <c r="AS39" s="3">
        <f t="shared" ref="AS39:AS58" si="47">+IF(V39*$Y$2&gt;1,1,V39*$Y$2)</f>
        <v>0.4</v>
      </c>
    </row>
    <row r="40" spans="1:45" x14ac:dyDescent="0.25">
      <c r="A40" s="1" t="s">
        <v>2</v>
      </c>
      <c r="B40" s="1">
        <v>0.5</v>
      </c>
      <c r="C40" s="3">
        <f t="shared" si="28"/>
        <v>0.97044553354850815</v>
      </c>
      <c r="D40" s="3">
        <f t="shared" si="28"/>
        <v>1</v>
      </c>
      <c r="E40" s="3">
        <f t="shared" si="28"/>
        <v>0.97044553354850815</v>
      </c>
      <c r="F40" s="3">
        <f t="shared" si="28"/>
        <v>0.91393118527122819</v>
      </c>
      <c r="G40" s="3">
        <f t="shared" si="28"/>
        <v>0.86070797642505781</v>
      </c>
      <c r="H40" s="3">
        <f t="shared" si="28"/>
        <v>0.76337949433685315</v>
      </c>
      <c r="I40" s="3">
        <f t="shared" si="28"/>
        <v>0.56552543869953709</v>
      </c>
      <c r="J40" s="3">
        <f t="shared" si="28"/>
        <v>0.418951549247639</v>
      </c>
      <c r="K40" s="3">
        <f t="shared" si="28"/>
        <v>0.4</v>
      </c>
      <c r="L40" s="3">
        <f t="shared" si="28"/>
        <v>0.4</v>
      </c>
      <c r="M40" s="3">
        <v>0.4</v>
      </c>
      <c r="N40" s="3">
        <v>0.4</v>
      </c>
      <c r="O40" s="3">
        <v>0.4</v>
      </c>
      <c r="P40" s="3">
        <v>0.4</v>
      </c>
      <c r="Q40" s="3">
        <v>0.4</v>
      </c>
      <c r="R40" s="3">
        <v>0.4</v>
      </c>
      <c r="S40" s="3">
        <v>0.4</v>
      </c>
      <c r="T40" s="3">
        <v>0.4</v>
      </c>
      <c r="U40" s="3">
        <v>0.4</v>
      </c>
      <c r="V40" s="3">
        <v>0.4</v>
      </c>
      <c r="X40" s="1" t="s">
        <v>2</v>
      </c>
      <c r="Y40" s="1">
        <v>0.5</v>
      </c>
      <c r="Z40" s="3">
        <f t="shared" ref="Z40:Z58" si="48">+IF(C40*$Y$2&gt;1,1,C40*$Y$2)</f>
        <v>0.97044553354850815</v>
      </c>
      <c r="AA40" s="9">
        <v>1</v>
      </c>
      <c r="AB40" s="3">
        <f t="shared" si="30"/>
        <v>0.97044553354850815</v>
      </c>
      <c r="AC40" s="3">
        <f t="shared" si="31"/>
        <v>0.91393118527122819</v>
      </c>
      <c r="AD40" s="3">
        <f t="shared" si="32"/>
        <v>0.86070797642505781</v>
      </c>
      <c r="AE40" s="3">
        <f t="shared" si="33"/>
        <v>0.76337949433685315</v>
      </c>
      <c r="AF40" s="3">
        <f t="shared" si="34"/>
        <v>0.56552543869953709</v>
      </c>
      <c r="AG40" s="3">
        <f t="shared" si="35"/>
        <v>0.418951549247639</v>
      </c>
      <c r="AH40" s="3">
        <f t="shared" si="36"/>
        <v>0.4</v>
      </c>
      <c r="AI40" s="3">
        <f t="shared" si="37"/>
        <v>0.4</v>
      </c>
      <c r="AJ40" s="3">
        <f t="shared" si="38"/>
        <v>0.4</v>
      </c>
      <c r="AK40" s="3">
        <f t="shared" si="39"/>
        <v>0.4</v>
      </c>
      <c r="AL40" s="3">
        <f t="shared" si="40"/>
        <v>0.4</v>
      </c>
      <c r="AM40" s="3">
        <f t="shared" si="41"/>
        <v>0.4</v>
      </c>
      <c r="AN40" s="3">
        <f t="shared" si="42"/>
        <v>0.4</v>
      </c>
      <c r="AO40" s="3">
        <f t="shared" si="43"/>
        <v>0.4</v>
      </c>
      <c r="AP40" s="3">
        <f t="shared" si="44"/>
        <v>0.4</v>
      </c>
      <c r="AQ40" s="3">
        <f t="shared" si="45"/>
        <v>0.4</v>
      </c>
      <c r="AR40" s="3">
        <f t="shared" si="46"/>
        <v>0.4</v>
      </c>
      <c r="AS40" s="3">
        <f t="shared" si="47"/>
        <v>0.4</v>
      </c>
    </row>
    <row r="41" spans="1:45" x14ac:dyDescent="0.25">
      <c r="A41" s="1" t="s">
        <v>2</v>
      </c>
      <c r="B41" s="1">
        <v>1</v>
      </c>
      <c r="C41" s="3">
        <f t="shared" si="28"/>
        <v>0.91393118527122819</v>
      </c>
      <c r="D41" s="3">
        <f t="shared" si="28"/>
        <v>0.97044553354850815</v>
      </c>
      <c r="E41" s="3">
        <f t="shared" si="28"/>
        <v>1</v>
      </c>
      <c r="F41" s="3">
        <f t="shared" si="28"/>
        <v>0.97044553354850815</v>
      </c>
      <c r="G41" s="3">
        <f t="shared" si="28"/>
        <v>0.94176453358424872</v>
      </c>
      <c r="H41" s="3">
        <f t="shared" si="28"/>
        <v>0.88692043671715748</v>
      </c>
      <c r="I41" s="3">
        <f t="shared" si="28"/>
        <v>0.76337949433685315</v>
      </c>
      <c r="J41" s="3">
        <f t="shared" si="28"/>
        <v>0.65704681981505675</v>
      </c>
      <c r="K41" s="3">
        <f t="shared" si="28"/>
        <v>0.56552543869953709</v>
      </c>
      <c r="L41" s="3">
        <f t="shared" si="28"/>
        <v>0.418951549247639</v>
      </c>
      <c r="M41" s="3">
        <v>0.4</v>
      </c>
      <c r="N41" s="3">
        <v>0.4</v>
      </c>
      <c r="O41" s="3">
        <v>0.4</v>
      </c>
      <c r="P41" s="3">
        <v>0.4</v>
      </c>
      <c r="Q41" s="3">
        <v>0.4</v>
      </c>
      <c r="R41" s="3">
        <v>0.4</v>
      </c>
      <c r="S41" s="3">
        <v>0.4</v>
      </c>
      <c r="T41" s="3">
        <v>0.4</v>
      </c>
      <c r="U41" s="3">
        <v>0.4</v>
      </c>
      <c r="V41" s="3">
        <v>0.4</v>
      </c>
      <c r="X41" s="1" t="s">
        <v>2</v>
      </c>
      <c r="Y41" s="1">
        <v>1</v>
      </c>
      <c r="Z41" s="3">
        <f t="shared" si="48"/>
        <v>0.91393118527122819</v>
      </c>
      <c r="AA41" s="3">
        <f t="shared" si="29"/>
        <v>0.97044553354850815</v>
      </c>
      <c r="AB41" s="9">
        <v>1</v>
      </c>
      <c r="AC41" s="3">
        <f t="shared" si="31"/>
        <v>0.97044553354850815</v>
      </c>
      <c r="AD41" s="3">
        <f t="shared" si="32"/>
        <v>0.94176453358424872</v>
      </c>
      <c r="AE41" s="3">
        <f t="shared" si="33"/>
        <v>0.88692043671715748</v>
      </c>
      <c r="AF41" s="3">
        <f t="shared" si="34"/>
        <v>0.76337949433685315</v>
      </c>
      <c r="AG41" s="3">
        <f t="shared" si="35"/>
        <v>0.65704681981505675</v>
      </c>
      <c r="AH41" s="3">
        <f t="shared" si="36"/>
        <v>0.56552543869953709</v>
      </c>
      <c r="AI41" s="3">
        <f t="shared" si="37"/>
        <v>0.418951549247639</v>
      </c>
      <c r="AJ41" s="3">
        <f t="shared" si="38"/>
        <v>0.4</v>
      </c>
      <c r="AK41" s="3">
        <f t="shared" si="39"/>
        <v>0.4</v>
      </c>
      <c r="AL41" s="3">
        <f t="shared" si="40"/>
        <v>0.4</v>
      </c>
      <c r="AM41" s="3">
        <f t="shared" si="41"/>
        <v>0.4</v>
      </c>
      <c r="AN41" s="3">
        <f t="shared" si="42"/>
        <v>0.4</v>
      </c>
      <c r="AO41" s="3">
        <f t="shared" si="43"/>
        <v>0.4</v>
      </c>
      <c r="AP41" s="3">
        <f t="shared" si="44"/>
        <v>0.4</v>
      </c>
      <c r="AQ41" s="3">
        <f t="shared" si="45"/>
        <v>0.4</v>
      </c>
      <c r="AR41" s="3">
        <f t="shared" si="46"/>
        <v>0.4</v>
      </c>
      <c r="AS41" s="3">
        <f t="shared" si="47"/>
        <v>0.4</v>
      </c>
    </row>
    <row r="42" spans="1:45" x14ac:dyDescent="0.25">
      <c r="A42" s="1" t="s">
        <v>2</v>
      </c>
      <c r="B42" s="1">
        <v>2</v>
      </c>
      <c r="C42" s="3">
        <f t="shared" si="28"/>
        <v>0.81058424597018708</v>
      </c>
      <c r="D42" s="3">
        <f t="shared" si="28"/>
        <v>0.91393118527122819</v>
      </c>
      <c r="E42" s="3">
        <f t="shared" si="28"/>
        <v>0.97044553354850815</v>
      </c>
      <c r="F42" s="3">
        <f t="shared" si="28"/>
        <v>1</v>
      </c>
      <c r="G42" s="3">
        <f t="shared" si="28"/>
        <v>0.98511193960306265</v>
      </c>
      <c r="H42" s="3">
        <f t="shared" si="28"/>
        <v>0.95599748183309996</v>
      </c>
      <c r="I42" s="3">
        <f t="shared" si="28"/>
        <v>0.88692043671715748</v>
      </c>
      <c r="J42" s="3">
        <f t="shared" si="28"/>
        <v>0.82283465805601841</v>
      </c>
      <c r="K42" s="3">
        <f t="shared" si="28"/>
        <v>0.76337949433685315</v>
      </c>
      <c r="L42" s="3">
        <f t="shared" si="28"/>
        <v>0.65704681981505675</v>
      </c>
      <c r="M42" s="3">
        <v>0.4</v>
      </c>
      <c r="N42" s="3">
        <v>0.4</v>
      </c>
      <c r="O42" s="3">
        <v>0.4</v>
      </c>
      <c r="P42" s="3">
        <v>0.4</v>
      </c>
      <c r="Q42" s="3">
        <v>0.4</v>
      </c>
      <c r="R42" s="3">
        <v>0.4</v>
      </c>
      <c r="S42" s="3">
        <v>0.4</v>
      </c>
      <c r="T42" s="3">
        <v>0.4</v>
      </c>
      <c r="U42" s="3">
        <v>0.4</v>
      </c>
      <c r="V42" s="3">
        <v>0.4</v>
      </c>
      <c r="X42" s="1" t="s">
        <v>2</v>
      </c>
      <c r="Y42" s="1">
        <v>2</v>
      </c>
      <c r="Z42" s="3">
        <f t="shared" si="48"/>
        <v>0.81058424597018708</v>
      </c>
      <c r="AA42" s="3">
        <f t="shared" si="29"/>
        <v>0.91393118527122819</v>
      </c>
      <c r="AB42" s="3">
        <f t="shared" si="30"/>
        <v>0.97044553354850815</v>
      </c>
      <c r="AC42" s="9">
        <v>1</v>
      </c>
      <c r="AD42" s="3">
        <f t="shared" si="32"/>
        <v>0.98511193960306265</v>
      </c>
      <c r="AE42" s="3">
        <f t="shared" si="33"/>
        <v>0.95599748183309996</v>
      </c>
      <c r="AF42" s="3">
        <f t="shared" si="34"/>
        <v>0.88692043671715748</v>
      </c>
      <c r="AG42" s="3">
        <f t="shared" si="35"/>
        <v>0.82283465805601841</v>
      </c>
      <c r="AH42" s="3">
        <f t="shared" si="36"/>
        <v>0.76337949433685315</v>
      </c>
      <c r="AI42" s="3">
        <f t="shared" si="37"/>
        <v>0.65704681981505675</v>
      </c>
      <c r="AJ42" s="3">
        <f t="shared" si="38"/>
        <v>0.4</v>
      </c>
      <c r="AK42" s="3">
        <f t="shared" si="39"/>
        <v>0.4</v>
      </c>
      <c r="AL42" s="3">
        <f t="shared" si="40"/>
        <v>0.4</v>
      </c>
      <c r="AM42" s="3">
        <f t="shared" si="41"/>
        <v>0.4</v>
      </c>
      <c r="AN42" s="3">
        <f t="shared" si="42"/>
        <v>0.4</v>
      </c>
      <c r="AO42" s="3">
        <f t="shared" si="43"/>
        <v>0.4</v>
      </c>
      <c r="AP42" s="3">
        <f t="shared" si="44"/>
        <v>0.4</v>
      </c>
      <c r="AQ42" s="3">
        <f t="shared" si="45"/>
        <v>0.4</v>
      </c>
      <c r="AR42" s="3">
        <f t="shared" si="46"/>
        <v>0.4</v>
      </c>
      <c r="AS42" s="3">
        <f t="shared" si="47"/>
        <v>0.4</v>
      </c>
    </row>
    <row r="43" spans="1:45" x14ac:dyDescent="0.25">
      <c r="A43" s="1" t="s">
        <v>2</v>
      </c>
      <c r="B43" s="1">
        <v>3</v>
      </c>
      <c r="C43" s="3">
        <f t="shared" si="28"/>
        <v>0.71892373343192617</v>
      </c>
      <c r="D43" s="3">
        <f t="shared" si="28"/>
        <v>0.86070797642505781</v>
      </c>
      <c r="E43" s="3">
        <f t="shared" si="28"/>
        <v>0.94176453358424872</v>
      </c>
      <c r="F43" s="3">
        <f t="shared" si="28"/>
        <v>0.98511193960306265</v>
      </c>
      <c r="G43" s="3">
        <f t="shared" si="28"/>
        <v>1</v>
      </c>
      <c r="H43" s="3">
        <f t="shared" si="28"/>
        <v>0.98019867330675525</v>
      </c>
      <c r="I43" s="3">
        <f t="shared" si="28"/>
        <v>0.93239381990594827</v>
      </c>
      <c r="J43" s="3">
        <f t="shared" si="28"/>
        <v>0.88692043671715748</v>
      </c>
      <c r="K43" s="3">
        <f t="shared" si="28"/>
        <v>0.8436648165963837</v>
      </c>
      <c r="L43" s="3">
        <f t="shared" si="28"/>
        <v>0.76337949433685315</v>
      </c>
      <c r="M43" s="3">
        <v>0.4</v>
      </c>
      <c r="N43" s="3">
        <v>0.4</v>
      </c>
      <c r="O43" s="3">
        <v>0.4</v>
      </c>
      <c r="P43" s="3">
        <v>0.4</v>
      </c>
      <c r="Q43" s="3">
        <v>0.4</v>
      </c>
      <c r="R43" s="3">
        <v>0.4</v>
      </c>
      <c r="S43" s="3">
        <v>0.4</v>
      </c>
      <c r="T43" s="3">
        <v>0.4</v>
      </c>
      <c r="U43" s="3">
        <v>0.4</v>
      </c>
      <c r="V43" s="3">
        <v>0.4</v>
      </c>
      <c r="X43" s="1" t="s">
        <v>2</v>
      </c>
      <c r="Y43" s="1">
        <v>3</v>
      </c>
      <c r="Z43" s="3">
        <f t="shared" si="48"/>
        <v>0.71892373343192617</v>
      </c>
      <c r="AA43" s="3">
        <f t="shared" si="29"/>
        <v>0.86070797642505781</v>
      </c>
      <c r="AB43" s="3">
        <f t="shared" si="30"/>
        <v>0.94176453358424872</v>
      </c>
      <c r="AC43" s="3">
        <f t="shared" si="31"/>
        <v>0.98511193960306265</v>
      </c>
      <c r="AD43" s="9">
        <v>1</v>
      </c>
      <c r="AE43" s="3">
        <f t="shared" si="33"/>
        <v>0.98019867330675525</v>
      </c>
      <c r="AF43" s="3">
        <f t="shared" si="34"/>
        <v>0.93239381990594827</v>
      </c>
      <c r="AG43" s="3">
        <f t="shared" si="35"/>
        <v>0.88692043671715748</v>
      </c>
      <c r="AH43" s="3">
        <f t="shared" si="36"/>
        <v>0.8436648165963837</v>
      </c>
      <c r="AI43" s="3">
        <f t="shared" si="37"/>
        <v>0.76337949433685315</v>
      </c>
      <c r="AJ43" s="3">
        <f t="shared" si="38"/>
        <v>0.4</v>
      </c>
      <c r="AK43" s="3">
        <f t="shared" si="39"/>
        <v>0.4</v>
      </c>
      <c r="AL43" s="3">
        <f t="shared" si="40"/>
        <v>0.4</v>
      </c>
      <c r="AM43" s="3">
        <f t="shared" si="41"/>
        <v>0.4</v>
      </c>
      <c r="AN43" s="3">
        <f t="shared" si="42"/>
        <v>0.4</v>
      </c>
      <c r="AO43" s="3">
        <f t="shared" si="43"/>
        <v>0.4</v>
      </c>
      <c r="AP43" s="3">
        <f t="shared" si="44"/>
        <v>0.4</v>
      </c>
      <c r="AQ43" s="3">
        <f t="shared" si="45"/>
        <v>0.4</v>
      </c>
      <c r="AR43" s="3">
        <f t="shared" si="46"/>
        <v>0.4</v>
      </c>
      <c r="AS43" s="3">
        <f t="shared" si="47"/>
        <v>0.4</v>
      </c>
    </row>
    <row r="44" spans="1:45" x14ac:dyDescent="0.25">
      <c r="A44" s="1" t="s">
        <v>2</v>
      </c>
      <c r="B44" s="1">
        <v>5</v>
      </c>
      <c r="C44" s="3">
        <f t="shared" si="28"/>
        <v>0.56552543869953709</v>
      </c>
      <c r="D44" s="3">
        <f t="shared" si="28"/>
        <v>0.76337949433685315</v>
      </c>
      <c r="E44" s="3">
        <f t="shared" si="28"/>
        <v>0.88692043671715748</v>
      </c>
      <c r="F44" s="3">
        <f t="shared" si="28"/>
        <v>0.95599748183309996</v>
      </c>
      <c r="G44" s="3">
        <f t="shared" si="28"/>
        <v>0.98019867330675525</v>
      </c>
      <c r="H44" s="3">
        <f t="shared" si="28"/>
        <v>1</v>
      </c>
      <c r="I44" s="3">
        <f t="shared" si="28"/>
        <v>0.97044553354850815</v>
      </c>
      <c r="J44" s="3">
        <f t="shared" si="28"/>
        <v>0.94176453358424872</v>
      </c>
      <c r="K44" s="3">
        <f t="shared" si="28"/>
        <v>0.91393118527122819</v>
      </c>
      <c r="L44" s="3">
        <f t="shared" si="28"/>
        <v>0.86070797642505781</v>
      </c>
      <c r="M44" s="3">
        <v>0.4</v>
      </c>
      <c r="N44" s="3">
        <v>0.4</v>
      </c>
      <c r="O44" s="3">
        <v>0.4</v>
      </c>
      <c r="P44" s="3">
        <v>0.4</v>
      </c>
      <c r="Q44" s="3">
        <v>0.4</v>
      </c>
      <c r="R44" s="3">
        <v>0.4</v>
      </c>
      <c r="S44" s="3">
        <v>0.4</v>
      </c>
      <c r="T44" s="3">
        <v>0.4</v>
      </c>
      <c r="U44" s="3">
        <v>0.4</v>
      </c>
      <c r="V44" s="3">
        <v>0.4</v>
      </c>
      <c r="X44" s="1" t="s">
        <v>2</v>
      </c>
      <c r="Y44" s="1">
        <v>5</v>
      </c>
      <c r="Z44" s="3">
        <f t="shared" si="48"/>
        <v>0.56552543869953709</v>
      </c>
      <c r="AA44" s="3">
        <f t="shared" si="29"/>
        <v>0.76337949433685315</v>
      </c>
      <c r="AB44" s="3">
        <f t="shared" si="30"/>
        <v>0.88692043671715748</v>
      </c>
      <c r="AC44" s="3">
        <f t="shared" si="31"/>
        <v>0.95599748183309996</v>
      </c>
      <c r="AD44" s="3">
        <f t="shared" si="32"/>
        <v>0.98019867330675525</v>
      </c>
      <c r="AE44" s="9">
        <v>1</v>
      </c>
      <c r="AF44" s="3">
        <f t="shared" si="34"/>
        <v>0.97044553354850815</v>
      </c>
      <c r="AG44" s="3">
        <f t="shared" si="35"/>
        <v>0.94176453358424872</v>
      </c>
      <c r="AH44" s="3">
        <f t="shared" si="36"/>
        <v>0.91393118527122819</v>
      </c>
      <c r="AI44" s="3">
        <f t="shared" si="37"/>
        <v>0.86070797642505781</v>
      </c>
      <c r="AJ44" s="3">
        <f t="shared" si="38"/>
        <v>0.4</v>
      </c>
      <c r="AK44" s="3">
        <f t="shared" si="39"/>
        <v>0.4</v>
      </c>
      <c r="AL44" s="3">
        <f t="shared" si="40"/>
        <v>0.4</v>
      </c>
      <c r="AM44" s="3">
        <f t="shared" si="41"/>
        <v>0.4</v>
      </c>
      <c r="AN44" s="3">
        <f t="shared" si="42"/>
        <v>0.4</v>
      </c>
      <c r="AO44" s="3">
        <f t="shared" si="43"/>
        <v>0.4</v>
      </c>
      <c r="AP44" s="3">
        <f t="shared" si="44"/>
        <v>0.4</v>
      </c>
      <c r="AQ44" s="3">
        <f t="shared" si="45"/>
        <v>0.4</v>
      </c>
      <c r="AR44" s="3">
        <f t="shared" si="46"/>
        <v>0.4</v>
      </c>
      <c r="AS44" s="3">
        <f t="shared" si="47"/>
        <v>0.4</v>
      </c>
    </row>
    <row r="45" spans="1:45" x14ac:dyDescent="0.25">
      <c r="A45" s="1" t="s">
        <v>2</v>
      </c>
      <c r="B45" s="1">
        <v>10</v>
      </c>
      <c r="C45" s="3">
        <f t="shared" si="28"/>
        <v>0.4</v>
      </c>
      <c r="D45" s="3">
        <f t="shared" si="28"/>
        <v>0.56552543869953709</v>
      </c>
      <c r="E45" s="3">
        <f t="shared" si="28"/>
        <v>0.76337949433685315</v>
      </c>
      <c r="F45" s="3">
        <f t="shared" si="28"/>
        <v>0.88692043671715748</v>
      </c>
      <c r="G45" s="3">
        <f t="shared" si="28"/>
        <v>0.93239381990594827</v>
      </c>
      <c r="H45" s="3">
        <f t="shared" si="28"/>
        <v>0.97044553354850815</v>
      </c>
      <c r="I45" s="3">
        <f t="shared" si="28"/>
        <v>1</v>
      </c>
      <c r="J45" s="3">
        <f t="shared" si="28"/>
        <v>0.98511193960306265</v>
      </c>
      <c r="K45" s="3">
        <f t="shared" si="28"/>
        <v>0.97044553354850815</v>
      </c>
      <c r="L45" s="3">
        <f t="shared" si="28"/>
        <v>0.94176453358424872</v>
      </c>
      <c r="M45" s="3">
        <v>0.4</v>
      </c>
      <c r="N45" s="3">
        <v>0.4</v>
      </c>
      <c r="O45" s="3">
        <v>0.4</v>
      </c>
      <c r="P45" s="3">
        <v>0.4</v>
      </c>
      <c r="Q45" s="3">
        <v>0.4</v>
      </c>
      <c r="R45" s="3">
        <v>0.4</v>
      </c>
      <c r="S45" s="3">
        <v>0.4</v>
      </c>
      <c r="T45" s="3">
        <v>0.4</v>
      </c>
      <c r="U45" s="3">
        <v>0.4</v>
      </c>
      <c r="V45" s="3">
        <v>0.4</v>
      </c>
      <c r="X45" s="1" t="s">
        <v>2</v>
      </c>
      <c r="Y45" s="1">
        <v>10</v>
      </c>
      <c r="Z45" s="3">
        <f t="shared" si="48"/>
        <v>0.4</v>
      </c>
      <c r="AA45" s="3">
        <f t="shared" si="29"/>
        <v>0.56552543869953709</v>
      </c>
      <c r="AB45" s="3">
        <f t="shared" si="30"/>
        <v>0.76337949433685315</v>
      </c>
      <c r="AC45" s="3">
        <f t="shared" si="31"/>
        <v>0.88692043671715748</v>
      </c>
      <c r="AD45" s="3">
        <f t="shared" si="32"/>
        <v>0.93239381990594827</v>
      </c>
      <c r="AE45" s="3">
        <f t="shared" si="33"/>
        <v>0.97044553354850815</v>
      </c>
      <c r="AF45" s="9">
        <v>1</v>
      </c>
      <c r="AG45" s="3">
        <f t="shared" si="35"/>
        <v>0.98511193960306265</v>
      </c>
      <c r="AH45" s="3">
        <f t="shared" si="36"/>
        <v>0.97044553354850815</v>
      </c>
      <c r="AI45" s="3">
        <f t="shared" si="37"/>
        <v>0.94176453358424872</v>
      </c>
      <c r="AJ45" s="3">
        <f t="shared" si="38"/>
        <v>0.4</v>
      </c>
      <c r="AK45" s="3">
        <f t="shared" si="39"/>
        <v>0.4</v>
      </c>
      <c r="AL45" s="3">
        <f t="shared" si="40"/>
        <v>0.4</v>
      </c>
      <c r="AM45" s="3">
        <f t="shared" si="41"/>
        <v>0.4</v>
      </c>
      <c r="AN45" s="3">
        <f t="shared" si="42"/>
        <v>0.4</v>
      </c>
      <c r="AO45" s="3">
        <f t="shared" si="43"/>
        <v>0.4</v>
      </c>
      <c r="AP45" s="3">
        <f t="shared" si="44"/>
        <v>0.4</v>
      </c>
      <c r="AQ45" s="3">
        <f t="shared" si="45"/>
        <v>0.4</v>
      </c>
      <c r="AR45" s="3">
        <f t="shared" si="46"/>
        <v>0.4</v>
      </c>
      <c r="AS45" s="3">
        <f t="shared" si="47"/>
        <v>0.4</v>
      </c>
    </row>
    <row r="46" spans="1:45" x14ac:dyDescent="0.25">
      <c r="A46" s="1" t="s">
        <v>2</v>
      </c>
      <c r="B46" s="1">
        <v>15</v>
      </c>
      <c r="C46" s="3">
        <f t="shared" si="28"/>
        <v>0.4</v>
      </c>
      <c r="D46" s="3">
        <f t="shared" si="28"/>
        <v>0.418951549247639</v>
      </c>
      <c r="E46" s="3">
        <f t="shared" si="28"/>
        <v>0.65704681981505675</v>
      </c>
      <c r="F46" s="3">
        <f t="shared" si="28"/>
        <v>0.82283465805601841</v>
      </c>
      <c r="G46" s="3">
        <f t="shared" si="28"/>
        <v>0.88692043671715748</v>
      </c>
      <c r="H46" s="3">
        <f t="shared" si="28"/>
        <v>0.94176453358424872</v>
      </c>
      <c r="I46" s="3">
        <f t="shared" si="28"/>
        <v>0.98511193960306265</v>
      </c>
      <c r="J46" s="3">
        <f t="shared" si="28"/>
        <v>1</v>
      </c>
      <c r="K46" s="3">
        <f t="shared" si="28"/>
        <v>0.99004983374916811</v>
      </c>
      <c r="L46" s="3">
        <f t="shared" si="28"/>
        <v>0.97044553354850815</v>
      </c>
      <c r="M46" s="3">
        <v>0.4</v>
      </c>
      <c r="N46" s="3">
        <v>0.4</v>
      </c>
      <c r="O46" s="3">
        <v>0.4</v>
      </c>
      <c r="P46" s="3">
        <v>0.4</v>
      </c>
      <c r="Q46" s="3">
        <v>0.4</v>
      </c>
      <c r="R46" s="3">
        <v>0.4</v>
      </c>
      <c r="S46" s="3">
        <v>0.4</v>
      </c>
      <c r="T46" s="3">
        <v>0.4</v>
      </c>
      <c r="U46" s="3">
        <v>0.4</v>
      </c>
      <c r="V46" s="3">
        <v>0.4</v>
      </c>
      <c r="X46" s="1" t="s">
        <v>2</v>
      </c>
      <c r="Y46" s="1">
        <v>15</v>
      </c>
      <c r="Z46" s="3">
        <f t="shared" si="48"/>
        <v>0.4</v>
      </c>
      <c r="AA46" s="3">
        <f t="shared" si="29"/>
        <v>0.418951549247639</v>
      </c>
      <c r="AB46" s="3">
        <f t="shared" si="30"/>
        <v>0.65704681981505675</v>
      </c>
      <c r="AC46" s="3">
        <f t="shared" si="31"/>
        <v>0.82283465805601841</v>
      </c>
      <c r="AD46" s="3">
        <f t="shared" si="32"/>
        <v>0.88692043671715748</v>
      </c>
      <c r="AE46" s="3">
        <f t="shared" si="33"/>
        <v>0.94176453358424872</v>
      </c>
      <c r="AF46" s="3">
        <f t="shared" si="34"/>
        <v>0.98511193960306265</v>
      </c>
      <c r="AG46" s="9">
        <v>1</v>
      </c>
      <c r="AH46" s="3">
        <f t="shared" si="36"/>
        <v>0.99004983374916811</v>
      </c>
      <c r="AI46" s="3">
        <f t="shared" si="37"/>
        <v>0.97044553354850815</v>
      </c>
      <c r="AJ46" s="3">
        <f t="shared" si="38"/>
        <v>0.4</v>
      </c>
      <c r="AK46" s="3">
        <f t="shared" si="39"/>
        <v>0.4</v>
      </c>
      <c r="AL46" s="3">
        <f t="shared" si="40"/>
        <v>0.4</v>
      </c>
      <c r="AM46" s="3">
        <f t="shared" si="41"/>
        <v>0.4</v>
      </c>
      <c r="AN46" s="3">
        <f t="shared" si="42"/>
        <v>0.4</v>
      </c>
      <c r="AO46" s="3">
        <f t="shared" si="43"/>
        <v>0.4</v>
      </c>
      <c r="AP46" s="3">
        <f t="shared" si="44"/>
        <v>0.4</v>
      </c>
      <c r="AQ46" s="3">
        <f t="shared" si="45"/>
        <v>0.4</v>
      </c>
      <c r="AR46" s="3">
        <f t="shared" si="46"/>
        <v>0.4</v>
      </c>
      <c r="AS46" s="3">
        <f t="shared" si="47"/>
        <v>0.4</v>
      </c>
    </row>
    <row r="47" spans="1:45" x14ac:dyDescent="0.25">
      <c r="A47" s="1" t="s">
        <v>2</v>
      </c>
      <c r="B47" s="1">
        <v>20</v>
      </c>
      <c r="C47" s="3">
        <f t="shared" si="28"/>
        <v>0.4</v>
      </c>
      <c r="D47" s="3">
        <f t="shared" si="28"/>
        <v>0.4</v>
      </c>
      <c r="E47" s="3">
        <f t="shared" si="28"/>
        <v>0.56552543869953709</v>
      </c>
      <c r="F47" s="3">
        <f t="shared" si="28"/>
        <v>0.76337949433685315</v>
      </c>
      <c r="G47" s="3">
        <f t="shared" si="28"/>
        <v>0.8436648165963837</v>
      </c>
      <c r="H47" s="3">
        <f t="shared" si="28"/>
        <v>0.91393118527122819</v>
      </c>
      <c r="I47" s="3">
        <f t="shared" si="28"/>
        <v>0.97044553354850815</v>
      </c>
      <c r="J47" s="3">
        <f t="shared" si="28"/>
        <v>0.99004983374916811</v>
      </c>
      <c r="K47" s="3">
        <f t="shared" si="28"/>
        <v>1</v>
      </c>
      <c r="L47" s="3">
        <f t="shared" si="28"/>
        <v>0.98511193960306265</v>
      </c>
      <c r="M47" s="3">
        <v>0.4</v>
      </c>
      <c r="N47" s="3">
        <v>0.4</v>
      </c>
      <c r="O47" s="3">
        <v>0.4</v>
      </c>
      <c r="P47" s="3">
        <v>0.4</v>
      </c>
      <c r="Q47" s="3">
        <v>0.4</v>
      </c>
      <c r="R47" s="3">
        <v>0.4</v>
      </c>
      <c r="S47" s="3">
        <v>0.4</v>
      </c>
      <c r="T47" s="3">
        <v>0.4</v>
      </c>
      <c r="U47" s="3">
        <v>0.4</v>
      </c>
      <c r="V47" s="3">
        <v>0.4</v>
      </c>
      <c r="X47" s="1" t="s">
        <v>2</v>
      </c>
      <c r="Y47" s="1">
        <v>20</v>
      </c>
      <c r="Z47" s="3">
        <f t="shared" si="48"/>
        <v>0.4</v>
      </c>
      <c r="AA47" s="3">
        <f t="shared" si="29"/>
        <v>0.4</v>
      </c>
      <c r="AB47" s="3">
        <f t="shared" si="30"/>
        <v>0.56552543869953709</v>
      </c>
      <c r="AC47" s="3">
        <f t="shared" si="31"/>
        <v>0.76337949433685315</v>
      </c>
      <c r="AD47" s="3">
        <f t="shared" si="32"/>
        <v>0.8436648165963837</v>
      </c>
      <c r="AE47" s="3">
        <f t="shared" si="33"/>
        <v>0.91393118527122819</v>
      </c>
      <c r="AF47" s="3">
        <f t="shared" si="34"/>
        <v>0.97044553354850815</v>
      </c>
      <c r="AG47" s="3">
        <f t="shared" si="35"/>
        <v>0.99004983374916811</v>
      </c>
      <c r="AH47" s="9">
        <v>1</v>
      </c>
      <c r="AI47" s="3">
        <f t="shared" si="37"/>
        <v>0.98511193960306265</v>
      </c>
      <c r="AJ47" s="3">
        <f t="shared" si="38"/>
        <v>0.4</v>
      </c>
      <c r="AK47" s="3">
        <f t="shared" si="39"/>
        <v>0.4</v>
      </c>
      <c r="AL47" s="3">
        <f t="shared" si="40"/>
        <v>0.4</v>
      </c>
      <c r="AM47" s="3">
        <f t="shared" si="41"/>
        <v>0.4</v>
      </c>
      <c r="AN47" s="3">
        <f t="shared" si="42"/>
        <v>0.4</v>
      </c>
      <c r="AO47" s="3">
        <f t="shared" si="43"/>
        <v>0.4</v>
      </c>
      <c r="AP47" s="3">
        <f t="shared" si="44"/>
        <v>0.4</v>
      </c>
      <c r="AQ47" s="3">
        <f t="shared" si="45"/>
        <v>0.4</v>
      </c>
      <c r="AR47" s="3">
        <f t="shared" si="46"/>
        <v>0.4</v>
      </c>
      <c r="AS47" s="3">
        <f t="shared" si="47"/>
        <v>0.4</v>
      </c>
    </row>
    <row r="48" spans="1:45" x14ac:dyDescent="0.25">
      <c r="A48" s="1" t="s">
        <v>2</v>
      </c>
      <c r="B48" s="1">
        <v>30</v>
      </c>
      <c r="C48" s="3">
        <f t="shared" si="28"/>
        <v>0.4</v>
      </c>
      <c r="D48" s="3">
        <f t="shared" si="28"/>
        <v>0.4</v>
      </c>
      <c r="E48" s="3">
        <f t="shared" si="28"/>
        <v>0.418951549247639</v>
      </c>
      <c r="F48" s="3">
        <f t="shared" si="28"/>
        <v>0.65704681981505675</v>
      </c>
      <c r="G48" s="3">
        <f t="shared" si="28"/>
        <v>0.76337949433685315</v>
      </c>
      <c r="H48" s="3">
        <f t="shared" si="28"/>
        <v>0.86070797642505781</v>
      </c>
      <c r="I48" s="3">
        <f t="shared" si="28"/>
        <v>0.94176453358424872</v>
      </c>
      <c r="J48" s="3">
        <f t="shared" si="28"/>
        <v>0.97044553354850815</v>
      </c>
      <c r="K48" s="3">
        <f t="shared" si="28"/>
        <v>0.98511193960306265</v>
      </c>
      <c r="L48" s="3">
        <f t="shared" si="28"/>
        <v>1</v>
      </c>
      <c r="M48" s="3">
        <v>0.4</v>
      </c>
      <c r="N48" s="3">
        <v>0.4</v>
      </c>
      <c r="O48" s="3">
        <v>0.4</v>
      </c>
      <c r="P48" s="3">
        <v>0.4</v>
      </c>
      <c r="Q48" s="3">
        <v>0.4</v>
      </c>
      <c r="R48" s="3">
        <v>0.4</v>
      </c>
      <c r="S48" s="3">
        <v>0.4</v>
      </c>
      <c r="T48" s="3">
        <v>0.4</v>
      </c>
      <c r="U48" s="3">
        <v>0.4</v>
      </c>
      <c r="V48" s="3">
        <v>0.4</v>
      </c>
      <c r="X48" s="1" t="s">
        <v>2</v>
      </c>
      <c r="Y48" s="1">
        <v>30</v>
      </c>
      <c r="Z48" s="3">
        <f t="shared" si="48"/>
        <v>0.4</v>
      </c>
      <c r="AA48" s="3">
        <f t="shared" si="29"/>
        <v>0.4</v>
      </c>
      <c r="AB48" s="3">
        <f t="shared" si="30"/>
        <v>0.418951549247639</v>
      </c>
      <c r="AC48" s="3">
        <f t="shared" si="31"/>
        <v>0.65704681981505675</v>
      </c>
      <c r="AD48" s="3">
        <f t="shared" si="32"/>
        <v>0.76337949433685315</v>
      </c>
      <c r="AE48" s="3">
        <f t="shared" si="33"/>
        <v>0.86070797642505781</v>
      </c>
      <c r="AF48" s="3">
        <f t="shared" si="34"/>
        <v>0.94176453358424872</v>
      </c>
      <c r="AG48" s="3">
        <f t="shared" si="35"/>
        <v>0.97044553354850815</v>
      </c>
      <c r="AH48" s="3">
        <f t="shared" si="36"/>
        <v>0.98511193960306265</v>
      </c>
      <c r="AI48" s="9">
        <v>1</v>
      </c>
      <c r="AJ48" s="3">
        <f t="shared" si="38"/>
        <v>0.4</v>
      </c>
      <c r="AK48" s="3">
        <f t="shared" si="39"/>
        <v>0.4</v>
      </c>
      <c r="AL48" s="3">
        <f t="shared" si="40"/>
        <v>0.4</v>
      </c>
      <c r="AM48" s="3">
        <f t="shared" si="41"/>
        <v>0.4</v>
      </c>
      <c r="AN48" s="3">
        <f t="shared" si="42"/>
        <v>0.4</v>
      </c>
      <c r="AO48" s="3">
        <f t="shared" si="43"/>
        <v>0.4</v>
      </c>
      <c r="AP48" s="3">
        <f t="shared" si="44"/>
        <v>0.4</v>
      </c>
      <c r="AQ48" s="3">
        <f t="shared" si="45"/>
        <v>0.4</v>
      </c>
      <c r="AR48" s="3">
        <f t="shared" si="46"/>
        <v>0.4</v>
      </c>
      <c r="AS48" s="3">
        <f t="shared" si="47"/>
        <v>0.4</v>
      </c>
    </row>
    <row r="49" spans="1:45" x14ac:dyDescent="0.25">
      <c r="A49" s="1" t="s">
        <v>8</v>
      </c>
      <c r="B49" s="1">
        <v>0.25</v>
      </c>
      <c r="C49" s="3">
        <v>0.4</v>
      </c>
      <c r="D49" s="3">
        <v>0.4</v>
      </c>
      <c r="E49" s="3">
        <v>0.4</v>
      </c>
      <c r="F49" s="3">
        <v>0.4</v>
      </c>
      <c r="G49" s="3">
        <v>0.4</v>
      </c>
      <c r="H49" s="3">
        <v>0.4</v>
      </c>
      <c r="I49" s="3">
        <v>0.4</v>
      </c>
      <c r="J49" s="3">
        <v>0.4</v>
      </c>
      <c r="K49" s="3">
        <v>0.4</v>
      </c>
      <c r="L49" s="3">
        <v>0.4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X49" s="1" t="s">
        <v>8</v>
      </c>
      <c r="Y49" s="1">
        <v>0.25</v>
      </c>
      <c r="Z49" s="3">
        <f t="shared" si="48"/>
        <v>0.4</v>
      </c>
      <c r="AA49" s="3">
        <f t="shared" si="29"/>
        <v>0.4</v>
      </c>
      <c r="AB49" s="3">
        <f t="shared" si="30"/>
        <v>0.4</v>
      </c>
      <c r="AC49" s="3">
        <f t="shared" si="31"/>
        <v>0.4</v>
      </c>
      <c r="AD49" s="3">
        <f t="shared" si="32"/>
        <v>0.4</v>
      </c>
      <c r="AE49" s="3">
        <f t="shared" si="33"/>
        <v>0.4</v>
      </c>
      <c r="AF49" s="3">
        <f t="shared" si="34"/>
        <v>0.4</v>
      </c>
      <c r="AG49" s="3">
        <f t="shared" si="35"/>
        <v>0.4</v>
      </c>
      <c r="AH49" s="3">
        <f t="shared" si="36"/>
        <v>0.4</v>
      </c>
      <c r="AI49" s="3">
        <f t="shared" si="37"/>
        <v>0.4</v>
      </c>
      <c r="AJ49" s="9">
        <v>1</v>
      </c>
      <c r="AK49" s="3">
        <f t="shared" si="39"/>
        <v>0</v>
      </c>
      <c r="AL49" s="3">
        <f t="shared" si="40"/>
        <v>0</v>
      </c>
      <c r="AM49" s="3">
        <f t="shared" si="41"/>
        <v>0</v>
      </c>
      <c r="AN49" s="3">
        <f t="shared" si="42"/>
        <v>0</v>
      </c>
      <c r="AO49" s="3">
        <f t="shared" si="43"/>
        <v>0</v>
      </c>
      <c r="AP49" s="3">
        <f t="shared" si="44"/>
        <v>0</v>
      </c>
      <c r="AQ49" s="3">
        <f t="shared" si="45"/>
        <v>0</v>
      </c>
      <c r="AR49" s="3">
        <f t="shared" si="46"/>
        <v>0</v>
      </c>
      <c r="AS49" s="3">
        <f t="shared" si="47"/>
        <v>0</v>
      </c>
    </row>
    <row r="50" spans="1:45" x14ac:dyDescent="0.25">
      <c r="A50" s="1" t="s">
        <v>8</v>
      </c>
      <c r="B50" s="1">
        <v>0.5</v>
      </c>
      <c r="C50" s="3">
        <v>0.4</v>
      </c>
      <c r="D50" s="3">
        <v>0.4</v>
      </c>
      <c r="E50" s="3">
        <v>0.4</v>
      </c>
      <c r="F50" s="3">
        <v>0.4</v>
      </c>
      <c r="G50" s="3">
        <v>0.4</v>
      </c>
      <c r="H50" s="3">
        <v>0.4</v>
      </c>
      <c r="I50" s="3">
        <v>0.4</v>
      </c>
      <c r="J50" s="3">
        <v>0.4</v>
      </c>
      <c r="K50" s="3">
        <v>0.4</v>
      </c>
      <c r="L50" s="3">
        <v>0.4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X50" s="1" t="s">
        <v>8</v>
      </c>
      <c r="Y50" s="1">
        <v>0.5</v>
      </c>
      <c r="Z50" s="3">
        <f t="shared" si="48"/>
        <v>0.4</v>
      </c>
      <c r="AA50" s="3">
        <f t="shared" si="29"/>
        <v>0.4</v>
      </c>
      <c r="AB50" s="3">
        <f t="shared" si="30"/>
        <v>0.4</v>
      </c>
      <c r="AC50" s="3">
        <f t="shared" si="31"/>
        <v>0.4</v>
      </c>
      <c r="AD50" s="3">
        <f t="shared" si="32"/>
        <v>0.4</v>
      </c>
      <c r="AE50" s="3">
        <f t="shared" si="33"/>
        <v>0.4</v>
      </c>
      <c r="AF50" s="3">
        <f t="shared" si="34"/>
        <v>0.4</v>
      </c>
      <c r="AG50" s="3">
        <f t="shared" si="35"/>
        <v>0.4</v>
      </c>
      <c r="AH50" s="3">
        <f t="shared" si="36"/>
        <v>0.4</v>
      </c>
      <c r="AI50" s="3">
        <f t="shared" si="37"/>
        <v>0.4</v>
      </c>
      <c r="AJ50" s="3">
        <f t="shared" si="38"/>
        <v>0</v>
      </c>
      <c r="AK50" s="3">
        <f t="shared" si="39"/>
        <v>0</v>
      </c>
      <c r="AL50" s="3">
        <f t="shared" si="40"/>
        <v>0</v>
      </c>
      <c r="AM50" s="3">
        <f t="shared" si="41"/>
        <v>0</v>
      </c>
      <c r="AN50" s="3">
        <f t="shared" si="42"/>
        <v>0</v>
      </c>
      <c r="AO50" s="3">
        <f t="shared" si="43"/>
        <v>0</v>
      </c>
      <c r="AP50" s="3">
        <f t="shared" si="44"/>
        <v>0</v>
      </c>
      <c r="AQ50" s="3">
        <f t="shared" si="45"/>
        <v>0</v>
      </c>
      <c r="AR50" s="3">
        <f t="shared" si="46"/>
        <v>0</v>
      </c>
      <c r="AS50" s="3">
        <f t="shared" si="47"/>
        <v>0</v>
      </c>
    </row>
    <row r="51" spans="1:45" x14ac:dyDescent="0.25">
      <c r="A51" s="1" t="s">
        <v>8</v>
      </c>
      <c r="B51" s="1">
        <v>1</v>
      </c>
      <c r="C51" s="3">
        <v>0.4</v>
      </c>
      <c r="D51" s="3">
        <v>0.4</v>
      </c>
      <c r="E51" s="3">
        <v>0.4</v>
      </c>
      <c r="F51" s="3">
        <v>0.4</v>
      </c>
      <c r="G51" s="3">
        <v>0.4</v>
      </c>
      <c r="H51" s="3">
        <v>0.4</v>
      </c>
      <c r="I51" s="3">
        <v>0.4</v>
      </c>
      <c r="J51" s="3">
        <v>0.4</v>
      </c>
      <c r="K51" s="3">
        <v>0.4</v>
      </c>
      <c r="L51" s="3">
        <v>0.4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X51" s="1" t="s">
        <v>8</v>
      </c>
      <c r="Y51" s="1">
        <v>1</v>
      </c>
      <c r="Z51" s="3">
        <f t="shared" si="48"/>
        <v>0.4</v>
      </c>
      <c r="AA51" s="3">
        <f t="shared" si="29"/>
        <v>0.4</v>
      </c>
      <c r="AB51" s="3">
        <f t="shared" si="30"/>
        <v>0.4</v>
      </c>
      <c r="AC51" s="3">
        <f t="shared" si="31"/>
        <v>0.4</v>
      </c>
      <c r="AD51" s="3">
        <f t="shared" si="32"/>
        <v>0.4</v>
      </c>
      <c r="AE51" s="3">
        <f t="shared" si="33"/>
        <v>0.4</v>
      </c>
      <c r="AF51" s="3">
        <f t="shared" si="34"/>
        <v>0.4</v>
      </c>
      <c r="AG51" s="3">
        <f t="shared" si="35"/>
        <v>0.4</v>
      </c>
      <c r="AH51" s="3">
        <f t="shared" si="36"/>
        <v>0.4</v>
      </c>
      <c r="AI51" s="3">
        <f t="shared" si="37"/>
        <v>0.4</v>
      </c>
      <c r="AJ51" s="3">
        <f t="shared" si="38"/>
        <v>0</v>
      </c>
      <c r="AK51" s="3">
        <f t="shared" si="39"/>
        <v>0</v>
      </c>
      <c r="AL51" s="3">
        <f t="shared" si="40"/>
        <v>0</v>
      </c>
      <c r="AM51" s="3">
        <f t="shared" si="41"/>
        <v>0</v>
      </c>
      <c r="AN51" s="3">
        <f t="shared" si="42"/>
        <v>0</v>
      </c>
      <c r="AO51" s="3">
        <f t="shared" si="43"/>
        <v>0</v>
      </c>
      <c r="AP51" s="3">
        <f t="shared" si="44"/>
        <v>0</v>
      </c>
      <c r="AQ51" s="3">
        <f t="shared" si="45"/>
        <v>0</v>
      </c>
      <c r="AR51" s="3">
        <f t="shared" si="46"/>
        <v>0</v>
      </c>
      <c r="AS51" s="3">
        <f t="shared" si="47"/>
        <v>0</v>
      </c>
    </row>
    <row r="52" spans="1:45" x14ac:dyDescent="0.25">
      <c r="A52" s="1" t="s">
        <v>8</v>
      </c>
      <c r="B52" s="1">
        <v>2</v>
      </c>
      <c r="C52" s="3">
        <v>0.4</v>
      </c>
      <c r="D52" s="3">
        <v>0.4</v>
      </c>
      <c r="E52" s="3">
        <v>0.4</v>
      </c>
      <c r="F52" s="3">
        <v>0.4</v>
      </c>
      <c r="G52" s="3">
        <v>0.4</v>
      </c>
      <c r="H52" s="3">
        <v>0.4</v>
      </c>
      <c r="I52" s="3">
        <v>0.4</v>
      </c>
      <c r="J52" s="3">
        <v>0.4</v>
      </c>
      <c r="K52" s="3">
        <v>0.4</v>
      </c>
      <c r="L52" s="3">
        <v>0.4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X52" s="1" t="s">
        <v>8</v>
      </c>
      <c r="Y52" s="1">
        <v>2</v>
      </c>
      <c r="Z52" s="3">
        <f t="shared" si="48"/>
        <v>0.4</v>
      </c>
      <c r="AA52" s="3">
        <f t="shared" si="29"/>
        <v>0.4</v>
      </c>
      <c r="AB52" s="3">
        <f t="shared" si="30"/>
        <v>0.4</v>
      </c>
      <c r="AC52" s="3">
        <f t="shared" si="31"/>
        <v>0.4</v>
      </c>
      <c r="AD52" s="3">
        <f t="shared" si="32"/>
        <v>0.4</v>
      </c>
      <c r="AE52" s="3">
        <f t="shared" si="33"/>
        <v>0.4</v>
      </c>
      <c r="AF52" s="3">
        <f t="shared" si="34"/>
        <v>0.4</v>
      </c>
      <c r="AG52" s="3">
        <f t="shared" si="35"/>
        <v>0.4</v>
      </c>
      <c r="AH52" s="3">
        <f t="shared" si="36"/>
        <v>0.4</v>
      </c>
      <c r="AI52" s="3">
        <f t="shared" si="37"/>
        <v>0.4</v>
      </c>
      <c r="AJ52" s="3">
        <f t="shared" si="38"/>
        <v>0</v>
      </c>
      <c r="AK52" s="3">
        <f t="shared" si="39"/>
        <v>0</v>
      </c>
      <c r="AL52" s="3">
        <f t="shared" si="40"/>
        <v>0</v>
      </c>
      <c r="AM52" s="3">
        <f t="shared" si="41"/>
        <v>0</v>
      </c>
      <c r="AN52" s="3">
        <f t="shared" si="42"/>
        <v>0</v>
      </c>
      <c r="AO52" s="3">
        <f t="shared" si="43"/>
        <v>0</v>
      </c>
      <c r="AP52" s="3">
        <f t="shared" si="44"/>
        <v>0</v>
      </c>
      <c r="AQ52" s="3">
        <f t="shared" si="45"/>
        <v>0</v>
      </c>
      <c r="AR52" s="3">
        <f t="shared" si="46"/>
        <v>0</v>
      </c>
      <c r="AS52" s="3">
        <f t="shared" si="47"/>
        <v>0</v>
      </c>
    </row>
    <row r="53" spans="1:45" x14ac:dyDescent="0.25">
      <c r="A53" s="1" t="s">
        <v>8</v>
      </c>
      <c r="B53" s="1">
        <v>3</v>
      </c>
      <c r="C53" s="3">
        <v>0.4</v>
      </c>
      <c r="D53" s="3">
        <v>0.4</v>
      </c>
      <c r="E53" s="3">
        <v>0.4</v>
      </c>
      <c r="F53" s="3">
        <v>0.4</v>
      </c>
      <c r="G53" s="3">
        <v>0.4</v>
      </c>
      <c r="H53" s="3">
        <v>0.4</v>
      </c>
      <c r="I53" s="3">
        <v>0.4</v>
      </c>
      <c r="J53" s="3">
        <v>0.4</v>
      </c>
      <c r="K53" s="3">
        <v>0.4</v>
      </c>
      <c r="L53" s="3">
        <v>0.4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X53" s="1" t="s">
        <v>8</v>
      </c>
      <c r="Y53" s="1">
        <v>3</v>
      </c>
      <c r="Z53" s="3">
        <f t="shared" si="48"/>
        <v>0.4</v>
      </c>
      <c r="AA53" s="3">
        <f t="shared" si="29"/>
        <v>0.4</v>
      </c>
      <c r="AB53" s="3">
        <f t="shared" si="30"/>
        <v>0.4</v>
      </c>
      <c r="AC53" s="3">
        <f t="shared" si="31"/>
        <v>0.4</v>
      </c>
      <c r="AD53" s="3">
        <f t="shared" si="32"/>
        <v>0.4</v>
      </c>
      <c r="AE53" s="3">
        <f t="shared" si="33"/>
        <v>0.4</v>
      </c>
      <c r="AF53" s="3">
        <f t="shared" si="34"/>
        <v>0.4</v>
      </c>
      <c r="AG53" s="3">
        <f t="shared" si="35"/>
        <v>0.4</v>
      </c>
      <c r="AH53" s="3">
        <f t="shared" si="36"/>
        <v>0.4</v>
      </c>
      <c r="AI53" s="3">
        <f t="shared" si="37"/>
        <v>0.4</v>
      </c>
      <c r="AJ53" s="3">
        <f t="shared" si="38"/>
        <v>0</v>
      </c>
      <c r="AK53" s="3">
        <f t="shared" si="39"/>
        <v>0</v>
      </c>
      <c r="AL53" s="3">
        <f t="shared" si="40"/>
        <v>0</v>
      </c>
      <c r="AM53" s="3">
        <f t="shared" si="41"/>
        <v>0</v>
      </c>
      <c r="AN53" s="3">
        <f t="shared" si="42"/>
        <v>0</v>
      </c>
      <c r="AO53" s="3">
        <f t="shared" si="43"/>
        <v>0</v>
      </c>
      <c r="AP53" s="3">
        <f t="shared" si="44"/>
        <v>0</v>
      </c>
      <c r="AQ53" s="3">
        <f t="shared" si="45"/>
        <v>0</v>
      </c>
      <c r="AR53" s="3">
        <f t="shared" si="46"/>
        <v>0</v>
      </c>
      <c r="AS53" s="3">
        <f t="shared" si="47"/>
        <v>0</v>
      </c>
    </row>
    <row r="54" spans="1:45" x14ac:dyDescent="0.25">
      <c r="A54" s="1" t="s">
        <v>8</v>
      </c>
      <c r="B54" s="1">
        <v>5</v>
      </c>
      <c r="C54" s="3">
        <v>0.4</v>
      </c>
      <c r="D54" s="3">
        <v>0.4</v>
      </c>
      <c r="E54" s="3">
        <v>0.4</v>
      </c>
      <c r="F54" s="3">
        <v>0.4</v>
      </c>
      <c r="G54" s="3">
        <v>0.4</v>
      </c>
      <c r="H54" s="3">
        <v>0.4</v>
      </c>
      <c r="I54" s="3">
        <v>0.4</v>
      </c>
      <c r="J54" s="3">
        <v>0.4</v>
      </c>
      <c r="K54" s="3">
        <v>0.4</v>
      </c>
      <c r="L54" s="3">
        <v>0.4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X54" s="1" t="s">
        <v>8</v>
      </c>
      <c r="Y54" s="1">
        <v>5</v>
      </c>
      <c r="Z54" s="3">
        <f t="shared" si="48"/>
        <v>0.4</v>
      </c>
      <c r="AA54" s="3">
        <f t="shared" si="29"/>
        <v>0.4</v>
      </c>
      <c r="AB54" s="3">
        <f t="shared" si="30"/>
        <v>0.4</v>
      </c>
      <c r="AC54" s="3">
        <f t="shared" si="31"/>
        <v>0.4</v>
      </c>
      <c r="AD54" s="3">
        <f t="shared" si="32"/>
        <v>0.4</v>
      </c>
      <c r="AE54" s="3">
        <f t="shared" si="33"/>
        <v>0.4</v>
      </c>
      <c r="AF54" s="3">
        <f t="shared" si="34"/>
        <v>0.4</v>
      </c>
      <c r="AG54" s="3">
        <f t="shared" si="35"/>
        <v>0.4</v>
      </c>
      <c r="AH54" s="3">
        <f t="shared" si="36"/>
        <v>0.4</v>
      </c>
      <c r="AI54" s="3">
        <f t="shared" si="37"/>
        <v>0.4</v>
      </c>
      <c r="AJ54" s="3">
        <f t="shared" si="38"/>
        <v>0</v>
      </c>
      <c r="AK54" s="3">
        <f t="shared" si="39"/>
        <v>0</v>
      </c>
      <c r="AL54" s="3">
        <f t="shared" si="40"/>
        <v>0</v>
      </c>
      <c r="AM54" s="3">
        <f t="shared" si="41"/>
        <v>0</v>
      </c>
      <c r="AN54" s="3">
        <f t="shared" si="42"/>
        <v>0</v>
      </c>
      <c r="AO54" s="3">
        <f t="shared" si="43"/>
        <v>0</v>
      </c>
      <c r="AP54" s="3">
        <f t="shared" si="44"/>
        <v>0</v>
      </c>
      <c r="AQ54" s="3">
        <f t="shared" si="45"/>
        <v>0</v>
      </c>
      <c r="AR54" s="3">
        <f t="shared" si="46"/>
        <v>0</v>
      </c>
      <c r="AS54" s="3">
        <f t="shared" si="47"/>
        <v>0</v>
      </c>
    </row>
    <row r="55" spans="1:45" x14ac:dyDescent="0.25">
      <c r="A55" s="1" t="s">
        <v>8</v>
      </c>
      <c r="B55" s="1">
        <v>10</v>
      </c>
      <c r="C55" s="3">
        <v>0.4</v>
      </c>
      <c r="D55" s="3">
        <v>0.4</v>
      </c>
      <c r="E55" s="3">
        <v>0.4</v>
      </c>
      <c r="F55" s="3">
        <v>0.4</v>
      </c>
      <c r="G55" s="3">
        <v>0.4</v>
      </c>
      <c r="H55" s="3">
        <v>0.4</v>
      </c>
      <c r="I55" s="3">
        <v>0.4</v>
      </c>
      <c r="J55" s="3">
        <v>0.4</v>
      </c>
      <c r="K55" s="3">
        <v>0.4</v>
      </c>
      <c r="L55" s="3">
        <v>0.4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X55" s="1" t="s">
        <v>8</v>
      </c>
      <c r="Y55" s="1">
        <v>10</v>
      </c>
      <c r="Z55" s="3">
        <f t="shared" si="48"/>
        <v>0.4</v>
      </c>
      <c r="AA55" s="3">
        <f t="shared" si="29"/>
        <v>0.4</v>
      </c>
      <c r="AB55" s="3">
        <f t="shared" si="30"/>
        <v>0.4</v>
      </c>
      <c r="AC55" s="3">
        <f t="shared" si="31"/>
        <v>0.4</v>
      </c>
      <c r="AD55" s="3">
        <f t="shared" si="32"/>
        <v>0.4</v>
      </c>
      <c r="AE55" s="3">
        <f t="shared" si="33"/>
        <v>0.4</v>
      </c>
      <c r="AF55" s="3">
        <f t="shared" si="34"/>
        <v>0.4</v>
      </c>
      <c r="AG55" s="3">
        <f t="shared" si="35"/>
        <v>0.4</v>
      </c>
      <c r="AH55" s="3">
        <f t="shared" si="36"/>
        <v>0.4</v>
      </c>
      <c r="AI55" s="3">
        <f t="shared" si="37"/>
        <v>0.4</v>
      </c>
      <c r="AJ55" s="3">
        <f t="shared" si="38"/>
        <v>0</v>
      </c>
      <c r="AK55" s="3">
        <f t="shared" si="39"/>
        <v>0</v>
      </c>
      <c r="AL55" s="3">
        <f t="shared" si="40"/>
        <v>0</v>
      </c>
      <c r="AM55" s="3">
        <f t="shared" si="41"/>
        <v>0</v>
      </c>
      <c r="AN55" s="3">
        <f t="shared" si="42"/>
        <v>0</v>
      </c>
      <c r="AO55" s="3">
        <f t="shared" si="43"/>
        <v>0</v>
      </c>
      <c r="AP55" s="3">
        <f t="shared" si="44"/>
        <v>0</v>
      </c>
      <c r="AQ55" s="3">
        <f t="shared" si="45"/>
        <v>0</v>
      </c>
      <c r="AR55" s="3">
        <f t="shared" si="46"/>
        <v>0</v>
      </c>
      <c r="AS55" s="3">
        <f t="shared" si="47"/>
        <v>0</v>
      </c>
    </row>
    <row r="56" spans="1:45" x14ac:dyDescent="0.25">
      <c r="A56" s="1" t="s">
        <v>8</v>
      </c>
      <c r="B56" s="1">
        <v>15</v>
      </c>
      <c r="C56" s="3">
        <v>0.4</v>
      </c>
      <c r="D56" s="3">
        <v>0.4</v>
      </c>
      <c r="E56" s="3">
        <v>0.4</v>
      </c>
      <c r="F56" s="3">
        <v>0.4</v>
      </c>
      <c r="G56" s="3">
        <v>0.4</v>
      </c>
      <c r="H56" s="3">
        <v>0.4</v>
      </c>
      <c r="I56" s="3">
        <v>0.4</v>
      </c>
      <c r="J56" s="3">
        <v>0.4</v>
      </c>
      <c r="K56" s="3">
        <v>0.4</v>
      </c>
      <c r="L56" s="3">
        <v>0.4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X56" s="1" t="s">
        <v>8</v>
      </c>
      <c r="Y56" s="1">
        <v>15</v>
      </c>
      <c r="Z56" s="3">
        <f t="shared" si="48"/>
        <v>0.4</v>
      </c>
      <c r="AA56" s="3">
        <f t="shared" si="29"/>
        <v>0.4</v>
      </c>
      <c r="AB56" s="3">
        <f t="shared" si="30"/>
        <v>0.4</v>
      </c>
      <c r="AC56" s="3">
        <f t="shared" si="31"/>
        <v>0.4</v>
      </c>
      <c r="AD56" s="3">
        <f t="shared" si="32"/>
        <v>0.4</v>
      </c>
      <c r="AE56" s="3">
        <f t="shared" si="33"/>
        <v>0.4</v>
      </c>
      <c r="AF56" s="3">
        <f t="shared" si="34"/>
        <v>0.4</v>
      </c>
      <c r="AG56" s="3">
        <f t="shared" si="35"/>
        <v>0.4</v>
      </c>
      <c r="AH56" s="3">
        <f t="shared" si="36"/>
        <v>0.4</v>
      </c>
      <c r="AI56" s="3">
        <f t="shared" si="37"/>
        <v>0.4</v>
      </c>
      <c r="AJ56" s="3">
        <f t="shared" si="38"/>
        <v>0</v>
      </c>
      <c r="AK56" s="3">
        <f t="shared" si="39"/>
        <v>0</v>
      </c>
      <c r="AL56" s="3">
        <f t="shared" si="40"/>
        <v>0</v>
      </c>
      <c r="AM56" s="3">
        <f t="shared" si="41"/>
        <v>0</v>
      </c>
      <c r="AN56" s="3">
        <f t="shared" si="42"/>
        <v>0</v>
      </c>
      <c r="AO56" s="3">
        <f t="shared" si="43"/>
        <v>0</v>
      </c>
      <c r="AP56" s="3">
        <f t="shared" si="44"/>
        <v>0</v>
      </c>
      <c r="AQ56" s="3">
        <f t="shared" si="45"/>
        <v>0</v>
      </c>
      <c r="AR56" s="3">
        <f t="shared" si="46"/>
        <v>0</v>
      </c>
      <c r="AS56" s="3">
        <f t="shared" si="47"/>
        <v>0</v>
      </c>
    </row>
    <row r="57" spans="1:45" x14ac:dyDescent="0.25">
      <c r="A57" s="1" t="s">
        <v>8</v>
      </c>
      <c r="B57" s="1">
        <v>20</v>
      </c>
      <c r="C57" s="3">
        <v>0.4</v>
      </c>
      <c r="D57" s="3">
        <v>0.4</v>
      </c>
      <c r="E57" s="3">
        <v>0.4</v>
      </c>
      <c r="F57" s="3">
        <v>0.4</v>
      </c>
      <c r="G57" s="3">
        <v>0.4</v>
      </c>
      <c r="H57" s="3">
        <v>0.4</v>
      </c>
      <c r="I57" s="3">
        <v>0.4</v>
      </c>
      <c r="J57" s="3">
        <v>0.4</v>
      </c>
      <c r="K57" s="3">
        <v>0.4</v>
      </c>
      <c r="L57" s="3">
        <v>0.4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X57" s="1" t="s">
        <v>8</v>
      </c>
      <c r="Y57" s="1">
        <v>20</v>
      </c>
      <c r="Z57" s="3">
        <f t="shared" si="48"/>
        <v>0.4</v>
      </c>
      <c r="AA57" s="3">
        <f t="shared" si="29"/>
        <v>0.4</v>
      </c>
      <c r="AB57" s="3">
        <f t="shared" si="30"/>
        <v>0.4</v>
      </c>
      <c r="AC57" s="3">
        <f t="shared" si="31"/>
        <v>0.4</v>
      </c>
      <c r="AD57" s="3">
        <f t="shared" si="32"/>
        <v>0.4</v>
      </c>
      <c r="AE57" s="3">
        <f t="shared" si="33"/>
        <v>0.4</v>
      </c>
      <c r="AF57" s="3">
        <f t="shared" si="34"/>
        <v>0.4</v>
      </c>
      <c r="AG57" s="3">
        <f t="shared" si="35"/>
        <v>0.4</v>
      </c>
      <c r="AH57" s="3">
        <f t="shared" si="36"/>
        <v>0.4</v>
      </c>
      <c r="AI57" s="3">
        <f t="shared" si="37"/>
        <v>0.4</v>
      </c>
      <c r="AJ57" s="3">
        <f t="shared" si="38"/>
        <v>0</v>
      </c>
      <c r="AK57" s="3">
        <f t="shared" si="39"/>
        <v>0</v>
      </c>
      <c r="AL57" s="3">
        <f t="shared" si="40"/>
        <v>0</v>
      </c>
      <c r="AM57" s="3">
        <f t="shared" si="41"/>
        <v>0</v>
      </c>
      <c r="AN57" s="3">
        <f t="shared" si="42"/>
        <v>0</v>
      </c>
      <c r="AO57" s="3">
        <f t="shared" si="43"/>
        <v>0</v>
      </c>
      <c r="AP57" s="3">
        <f t="shared" si="44"/>
        <v>0</v>
      </c>
      <c r="AQ57" s="3">
        <f t="shared" si="45"/>
        <v>0</v>
      </c>
      <c r="AR57" s="3">
        <f t="shared" si="46"/>
        <v>0</v>
      </c>
      <c r="AS57" s="3">
        <f t="shared" si="47"/>
        <v>0</v>
      </c>
    </row>
    <row r="58" spans="1:45" x14ac:dyDescent="0.25">
      <c r="A58" s="1" t="s">
        <v>8</v>
      </c>
      <c r="B58" s="1">
        <v>30</v>
      </c>
      <c r="C58" s="3">
        <v>0.4</v>
      </c>
      <c r="D58" s="3">
        <v>0.4</v>
      </c>
      <c r="E58" s="3">
        <v>0.4</v>
      </c>
      <c r="F58" s="3">
        <v>0.4</v>
      </c>
      <c r="G58" s="3">
        <v>0.4</v>
      </c>
      <c r="H58" s="3">
        <v>0.4</v>
      </c>
      <c r="I58" s="3">
        <v>0.4</v>
      </c>
      <c r="J58" s="3">
        <v>0.4</v>
      </c>
      <c r="K58" s="3">
        <v>0.4</v>
      </c>
      <c r="L58" s="3">
        <v>0.4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X58" s="1" t="s">
        <v>8</v>
      </c>
      <c r="Y58" s="1">
        <v>30</v>
      </c>
      <c r="Z58" s="3">
        <f t="shared" si="48"/>
        <v>0.4</v>
      </c>
      <c r="AA58" s="3">
        <f t="shared" si="29"/>
        <v>0.4</v>
      </c>
      <c r="AB58" s="3">
        <f t="shared" si="30"/>
        <v>0.4</v>
      </c>
      <c r="AC58" s="3">
        <f t="shared" si="31"/>
        <v>0.4</v>
      </c>
      <c r="AD58" s="3">
        <f t="shared" si="32"/>
        <v>0.4</v>
      </c>
      <c r="AE58" s="3">
        <f t="shared" si="33"/>
        <v>0.4</v>
      </c>
      <c r="AF58" s="3">
        <f t="shared" si="34"/>
        <v>0.4</v>
      </c>
      <c r="AG58" s="3">
        <f t="shared" si="35"/>
        <v>0.4</v>
      </c>
      <c r="AH58" s="3">
        <f t="shared" si="36"/>
        <v>0.4</v>
      </c>
      <c r="AI58" s="3">
        <f t="shared" si="37"/>
        <v>0.4</v>
      </c>
      <c r="AJ58" s="3">
        <f t="shared" si="38"/>
        <v>0</v>
      </c>
      <c r="AK58" s="3">
        <f t="shared" si="39"/>
        <v>0</v>
      </c>
      <c r="AL58" s="3">
        <f t="shared" si="40"/>
        <v>0</v>
      </c>
      <c r="AM58" s="3">
        <f t="shared" si="41"/>
        <v>0</v>
      </c>
      <c r="AN58" s="3">
        <f t="shared" si="42"/>
        <v>0</v>
      </c>
      <c r="AO58" s="3">
        <f t="shared" si="43"/>
        <v>0</v>
      </c>
      <c r="AP58" s="3">
        <f t="shared" si="44"/>
        <v>0</v>
      </c>
      <c r="AQ58" s="3">
        <f t="shared" si="45"/>
        <v>0</v>
      </c>
      <c r="AR58" s="3">
        <f t="shared" si="46"/>
        <v>0</v>
      </c>
      <c r="AS58" s="3">
        <f t="shared" si="47"/>
        <v>0</v>
      </c>
    </row>
  </sheetData>
  <conditionalFormatting sqref="C14:V3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9:V5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4:AS3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39:AS5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Y2" xr:uid="{00000000-0002-0000-0000-000000000000}">
      <formula1>"0.75,1,1.25"</formula1>
    </dataValidation>
  </dataValidation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8"/>
  <sheetViews>
    <sheetView showGridLines="0" zoomScale="85" zoomScaleNormal="85" workbookViewId="0"/>
  </sheetViews>
  <sheetFormatPr defaultColWidth="8.85546875" defaultRowHeight="15" x14ac:dyDescent="0.25"/>
  <cols>
    <col min="1" max="1" width="14.42578125" customWidth="1"/>
    <col min="4" max="9" width="11.5703125" bestFit="1" customWidth="1"/>
  </cols>
  <sheetData>
    <row r="1" spans="1:9" ht="15.75" x14ac:dyDescent="0.25">
      <c r="A1" s="16" t="s">
        <v>11</v>
      </c>
    </row>
    <row r="2" spans="1:9" ht="15.75" x14ac:dyDescent="0.25">
      <c r="A2" s="16"/>
    </row>
    <row r="3" spans="1:9" x14ac:dyDescent="0.25">
      <c r="A3" s="7" t="s">
        <v>12</v>
      </c>
    </row>
    <row r="4" spans="1:9" x14ac:dyDescent="0.25">
      <c r="C4" s="20" t="s">
        <v>1</v>
      </c>
      <c r="D4" s="21">
        <v>0.25</v>
      </c>
      <c r="E4" s="21">
        <v>0.5</v>
      </c>
      <c r="F4" s="21">
        <v>1</v>
      </c>
      <c r="G4" s="21">
        <v>2</v>
      </c>
      <c r="H4" s="21">
        <v>3</v>
      </c>
      <c r="I4" s="22">
        <v>5</v>
      </c>
    </row>
    <row r="5" spans="1:9" x14ac:dyDescent="0.25">
      <c r="A5" s="20" t="s">
        <v>0</v>
      </c>
      <c r="B5" s="22" t="s">
        <v>2</v>
      </c>
      <c r="D5" s="35">
        <v>1000</v>
      </c>
      <c r="E5" s="35">
        <v>1000</v>
      </c>
      <c r="F5" s="35">
        <v>1000</v>
      </c>
      <c r="G5" s="35">
        <v>1000</v>
      </c>
      <c r="H5" s="35">
        <v>1000</v>
      </c>
      <c r="I5" s="35">
        <v>1000</v>
      </c>
    </row>
    <row r="7" spans="1:9" x14ac:dyDescent="0.25">
      <c r="A7" s="7" t="s">
        <v>14</v>
      </c>
    </row>
    <row r="8" spans="1:9" x14ac:dyDescent="0.25">
      <c r="A8" s="23" t="s">
        <v>13</v>
      </c>
      <c r="C8" s="20" t="s">
        <v>1</v>
      </c>
      <c r="D8" s="21">
        <v>0.25</v>
      </c>
      <c r="E8" s="21">
        <v>0.5</v>
      </c>
      <c r="F8" s="21">
        <v>1</v>
      </c>
      <c r="G8" s="21">
        <v>2</v>
      </c>
      <c r="H8" s="21">
        <v>3</v>
      </c>
      <c r="I8" s="22">
        <v>5</v>
      </c>
    </row>
    <row r="9" spans="1:9" x14ac:dyDescent="0.25">
      <c r="A9">
        <f>+IF(A8="SI",SQRT(2),1)</f>
        <v>1.4142135623730951</v>
      </c>
      <c r="D9" s="33">
        <v>170</v>
      </c>
      <c r="E9" s="33">
        <v>170</v>
      </c>
      <c r="F9" s="33">
        <v>160</v>
      </c>
      <c r="G9" s="33">
        <v>130</v>
      </c>
      <c r="H9" s="33">
        <v>120</v>
      </c>
      <c r="I9" s="33">
        <v>110</v>
      </c>
    </row>
    <row r="10" spans="1:9" x14ac:dyDescent="0.25">
      <c r="D10" s="34">
        <f>+D9/$A$9</f>
        <v>120.20815280171307</v>
      </c>
      <c r="E10" s="34">
        <f t="shared" ref="E10:I10" si="0">+E9/$A$9</f>
        <v>120.20815280171307</v>
      </c>
      <c r="F10" s="34">
        <f t="shared" si="0"/>
        <v>113.13708498984759</v>
      </c>
      <c r="G10" s="34">
        <f t="shared" si="0"/>
        <v>91.923881554251167</v>
      </c>
      <c r="H10" s="34">
        <f t="shared" si="0"/>
        <v>84.852813742385692</v>
      </c>
      <c r="I10" s="34">
        <f t="shared" si="0"/>
        <v>77.781745930520216</v>
      </c>
    </row>
    <row r="12" spans="1:9" x14ac:dyDescent="0.25">
      <c r="A12" s="7" t="s">
        <v>15</v>
      </c>
      <c r="D12" s="65">
        <f t="shared" ref="D12:I12" si="1">+D10*D5</f>
        <v>120208.15280171306</v>
      </c>
      <c r="E12" s="65">
        <f t="shared" si="1"/>
        <v>120208.15280171306</v>
      </c>
      <c r="F12" s="65">
        <f t="shared" si="1"/>
        <v>113137.0849898476</v>
      </c>
      <c r="G12" s="65">
        <f t="shared" si="1"/>
        <v>91923.881554251173</v>
      </c>
      <c r="H12" s="65">
        <f t="shared" si="1"/>
        <v>84852.813742385697</v>
      </c>
      <c r="I12" s="65">
        <f t="shared" si="1"/>
        <v>77781.745930520221</v>
      </c>
    </row>
    <row r="14" spans="1:9" x14ac:dyDescent="0.25">
      <c r="A14" s="7" t="s">
        <v>16</v>
      </c>
    </row>
    <row r="15" spans="1:9" x14ac:dyDescent="0.25">
      <c r="C15" s="20" t="s">
        <v>0</v>
      </c>
      <c r="D15" s="21" t="str">
        <f t="array" ref="D15:I15">+TRANSPOSE(B17:B22)</f>
        <v>1M</v>
      </c>
      <c r="E15" s="21" t="str">
        <v>1M</v>
      </c>
      <c r="F15" s="21" t="str">
        <v>1M</v>
      </c>
      <c r="G15" s="21" t="str">
        <v>1M</v>
      </c>
      <c r="H15" s="21" t="str">
        <v>1M</v>
      </c>
      <c r="I15" s="22" t="str">
        <v>1M</v>
      </c>
    </row>
    <row r="16" spans="1:9" x14ac:dyDescent="0.25">
      <c r="B16" s="17" t="s">
        <v>0</v>
      </c>
      <c r="C16" s="66" t="s">
        <v>1</v>
      </c>
      <c r="D16" s="67">
        <f t="array" ref="D16:I16">+TRANSPOSE(C17:C22)</f>
        <v>0.25</v>
      </c>
      <c r="E16" s="67">
        <v>0.5</v>
      </c>
      <c r="F16" s="67">
        <v>1</v>
      </c>
      <c r="G16" s="67">
        <v>2</v>
      </c>
      <c r="H16" s="67">
        <v>3</v>
      </c>
      <c r="I16" s="68">
        <v>5</v>
      </c>
    </row>
    <row r="17" spans="1:9" x14ac:dyDescent="0.25">
      <c r="B17" s="18" t="s">
        <v>2</v>
      </c>
      <c r="C17" s="69">
        <v>0.25</v>
      </c>
      <c r="D17" s="24">
        <f>+correlaciones!Z14</f>
        <v>1</v>
      </c>
      <c r="E17" s="25">
        <f>+correlaciones!AA14</f>
        <v>0.97044553354850815</v>
      </c>
      <c r="F17" s="25">
        <f>+correlaciones!AB14</f>
        <v>0.91393118527122819</v>
      </c>
      <c r="G17" s="25">
        <f>+correlaciones!AC14</f>
        <v>0.81058424597018708</v>
      </c>
      <c r="H17" s="25">
        <f>+correlaciones!AD14</f>
        <v>0.71892373343192617</v>
      </c>
      <c r="I17" s="26">
        <f>+correlaciones!AE14</f>
        <v>0.56552543869953709</v>
      </c>
    </row>
    <row r="18" spans="1:9" x14ac:dyDescent="0.25">
      <c r="B18" s="18" t="s">
        <v>2</v>
      </c>
      <c r="C18" s="70">
        <v>0.5</v>
      </c>
      <c r="D18" s="27">
        <f>+correlaciones!Z15</f>
        <v>0.97044553354850815</v>
      </c>
      <c r="E18" s="28">
        <f>+correlaciones!AA15</f>
        <v>1</v>
      </c>
      <c r="F18" s="28">
        <f>+correlaciones!AB15</f>
        <v>0.97044553354850815</v>
      </c>
      <c r="G18" s="28">
        <f>+correlaciones!AC15</f>
        <v>0.91393118527122819</v>
      </c>
      <c r="H18" s="28">
        <f>+correlaciones!AD15</f>
        <v>0.86070797642505781</v>
      </c>
      <c r="I18" s="29">
        <f>+correlaciones!AE15</f>
        <v>0.76337949433685315</v>
      </c>
    </row>
    <row r="19" spans="1:9" x14ac:dyDescent="0.25">
      <c r="B19" s="18" t="s">
        <v>2</v>
      </c>
      <c r="C19" s="70">
        <v>1</v>
      </c>
      <c r="D19" s="27">
        <f>+correlaciones!Z16</f>
        <v>0.91393118527122819</v>
      </c>
      <c r="E19" s="28">
        <f>+correlaciones!AA16</f>
        <v>0.97044553354850815</v>
      </c>
      <c r="F19" s="28">
        <f>+correlaciones!AB16</f>
        <v>1</v>
      </c>
      <c r="G19" s="28">
        <f>+correlaciones!AC16</f>
        <v>0.97044553354850815</v>
      </c>
      <c r="H19" s="28">
        <f>+correlaciones!AD16</f>
        <v>0.94176453358424872</v>
      </c>
      <c r="I19" s="29">
        <f>+correlaciones!AE16</f>
        <v>0.88692043671715748</v>
      </c>
    </row>
    <row r="20" spans="1:9" x14ac:dyDescent="0.25">
      <c r="B20" s="18" t="s">
        <v>2</v>
      </c>
      <c r="C20" s="70">
        <v>2</v>
      </c>
      <c r="D20" s="27">
        <f>+correlaciones!Z17</f>
        <v>0.81058424597018708</v>
      </c>
      <c r="E20" s="28">
        <f>+correlaciones!AA17</f>
        <v>0.91393118527122819</v>
      </c>
      <c r="F20" s="28">
        <f>+correlaciones!AB17</f>
        <v>0.97044553354850815</v>
      </c>
      <c r="G20" s="28">
        <f>+correlaciones!AC17</f>
        <v>1</v>
      </c>
      <c r="H20" s="28">
        <f>+correlaciones!AD17</f>
        <v>0.98511193960306265</v>
      </c>
      <c r="I20" s="29">
        <f>+correlaciones!AE17</f>
        <v>0.95599748183309996</v>
      </c>
    </row>
    <row r="21" spans="1:9" x14ac:dyDescent="0.25">
      <c r="B21" s="18" t="s">
        <v>2</v>
      </c>
      <c r="C21" s="70">
        <v>3</v>
      </c>
      <c r="D21" s="27">
        <f>+correlaciones!Z18</f>
        <v>0.71892373343192617</v>
      </c>
      <c r="E21" s="28">
        <f>+correlaciones!AA18</f>
        <v>0.86070797642505781</v>
      </c>
      <c r="F21" s="28">
        <f>+correlaciones!AB18</f>
        <v>0.94176453358424872</v>
      </c>
      <c r="G21" s="28">
        <f>+correlaciones!AC18</f>
        <v>0.98511193960306265</v>
      </c>
      <c r="H21" s="28">
        <f>+correlaciones!AD18</f>
        <v>1</v>
      </c>
      <c r="I21" s="29">
        <f>+correlaciones!AE18</f>
        <v>0.98019867330675525</v>
      </c>
    </row>
    <row r="22" spans="1:9" x14ac:dyDescent="0.25">
      <c r="B22" s="19" t="s">
        <v>2</v>
      </c>
      <c r="C22" s="66">
        <v>5</v>
      </c>
      <c r="D22" s="30">
        <f>+correlaciones!Z19</f>
        <v>0.56552543869953709</v>
      </c>
      <c r="E22" s="31">
        <f>+correlaciones!AA19</f>
        <v>0.76337949433685315</v>
      </c>
      <c r="F22" s="31">
        <f>+correlaciones!AB19</f>
        <v>0.88692043671715748</v>
      </c>
      <c r="G22" s="31">
        <f>+correlaciones!AC19</f>
        <v>0.95599748183309996</v>
      </c>
      <c r="H22" s="31">
        <f>+correlaciones!AD19</f>
        <v>0.98019867330675525</v>
      </c>
      <c r="I22" s="32">
        <f>+correlaciones!AE19</f>
        <v>1</v>
      </c>
    </row>
    <row r="24" spans="1:9" x14ac:dyDescent="0.25">
      <c r="B24" s="1"/>
    </row>
    <row r="25" spans="1:9" x14ac:dyDescent="0.25">
      <c r="A25" s="1" t="s">
        <v>17</v>
      </c>
      <c r="D25" s="71">
        <f t="array" ref="D25:I25">+MMULT(D12:I12,D17:I22)</f>
        <v>519765.43582151382</v>
      </c>
      <c r="E25" s="72">
        <v>563079.58210221573</v>
      </c>
      <c r="F25" s="72">
        <v>577759.24044921529</v>
      </c>
      <c r="G25" s="72">
        <v>566966.74799762515</v>
      </c>
      <c r="H25" s="72">
        <v>548082.7951901803</v>
      </c>
      <c r="I25" s="73">
        <v>508922.16075083066</v>
      </c>
    </row>
    <row r="27" spans="1:9" ht="15.75" x14ac:dyDescent="0.25">
      <c r="A27" s="1" t="s">
        <v>18</v>
      </c>
      <c r="D27" s="74">
        <f t="array" ref="D27">+SQRT(MMULT(D25:I25,TRANSPOSE(D12:I12)))</f>
        <v>577703.90460448316</v>
      </c>
    </row>
    <row r="28" spans="1:9" x14ac:dyDescent="0.25">
      <c r="A28" s="1" t="s">
        <v>19</v>
      </c>
      <c r="B28" s="46">
        <f>+correlaciones!$Y$2</f>
        <v>1</v>
      </c>
    </row>
  </sheetData>
  <dataValidations count="1">
    <dataValidation type="list" allowBlank="1" showInputMessage="1" showErrorMessage="1" sqref="A8" xr:uid="{00000000-0002-0000-0100-000000000000}">
      <formula1>"SI,NO"</formula1>
    </dataValidation>
  </dataValidation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1"/>
  <sheetViews>
    <sheetView showGridLines="0" zoomScale="85" zoomScaleNormal="85" workbookViewId="0"/>
  </sheetViews>
  <sheetFormatPr defaultColWidth="8.85546875" defaultRowHeight="15" x14ac:dyDescent="0.25"/>
  <cols>
    <col min="1" max="1" width="14.42578125" customWidth="1"/>
    <col min="3" max="3" width="12.42578125" bestFit="1" customWidth="1"/>
    <col min="4" max="15" width="17.28515625" bestFit="1" customWidth="1"/>
  </cols>
  <sheetData>
    <row r="1" spans="1:9" ht="15.75" x14ac:dyDescent="0.25">
      <c r="A1" s="16" t="s">
        <v>20</v>
      </c>
    </row>
    <row r="2" spans="1:9" x14ac:dyDescent="0.25">
      <c r="A2" s="6"/>
    </row>
    <row r="3" spans="1:9" x14ac:dyDescent="0.25">
      <c r="A3" s="7" t="s">
        <v>12</v>
      </c>
    </row>
    <row r="4" spans="1:9" x14ac:dyDescent="0.25">
      <c r="C4" s="20" t="s">
        <v>1</v>
      </c>
      <c r="D4" s="21">
        <v>0.25</v>
      </c>
      <c r="E4" s="21">
        <v>0.5</v>
      </c>
      <c r="F4" s="21">
        <v>1</v>
      </c>
      <c r="G4" s="21">
        <v>2</v>
      </c>
      <c r="H4" s="21">
        <v>3</v>
      </c>
      <c r="I4" s="22">
        <v>5</v>
      </c>
    </row>
    <row r="5" spans="1:9" x14ac:dyDescent="0.25">
      <c r="A5" s="20" t="s">
        <v>0</v>
      </c>
      <c r="B5" s="22" t="s">
        <v>2</v>
      </c>
      <c r="D5" s="36">
        <v>1000</v>
      </c>
      <c r="E5" s="36">
        <v>1000</v>
      </c>
      <c r="F5" s="36">
        <v>1000</v>
      </c>
      <c r="G5" s="36">
        <v>1000</v>
      </c>
      <c r="H5" s="36">
        <v>1000</v>
      </c>
      <c r="I5" s="36">
        <v>1000</v>
      </c>
    </row>
    <row r="6" spans="1:9" x14ac:dyDescent="0.25">
      <c r="A6" s="20" t="s">
        <v>0</v>
      </c>
      <c r="B6" s="22" t="s">
        <v>3</v>
      </c>
      <c r="D6" s="35">
        <v>1000</v>
      </c>
      <c r="E6" s="35">
        <v>1000</v>
      </c>
      <c r="F6" s="35">
        <v>1000</v>
      </c>
      <c r="G6" s="35">
        <v>1000</v>
      </c>
      <c r="H6" s="35">
        <v>1000</v>
      </c>
      <c r="I6" s="35">
        <v>1000</v>
      </c>
    </row>
    <row r="8" spans="1:9" x14ac:dyDescent="0.25">
      <c r="A8" s="7" t="s">
        <v>14</v>
      </c>
    </row>
    <row r="9" spans="1:9" x14ac:dyDescent="0.25">
      <c r="A9" s="23" t="s">
        <v>13</v>
      </c>
      <c r="C9" s="20" t="s">
        <v>1</v>
      </c>
      <c r="D9" s="21">
        <v>0.25</v>
      </c>
      <c r="E9" s="21">
        <v>0.5</v>
      </c>
      <c r="F9" s="21">
        <v>1</v>
      </c>
      <c r="G9" s="21">
        <v>2</v>
      </c>
      <c r="H9" s="21">
        <v>3</v>
      </c>
      <c r="I9" s="22">
        <v>5</v>
      </c>
    </row>
    <row r="10" spans="1:9" x14ac:dyDescent="0.25">
      <c r="A10">
        <f>+IF(A9="SI",SQRT(2),1)</f>
        <v>1.4142135623730951</v>
      </c>
      <c r="C10" s="33" t="s">
        <v>29</v>
      </c>
      <c r="D10" s="33">
        <v>170</v>
      </c>
      <c r="E10" s="33">
        <v>170</v>
      </c>
      <c r="F10" s="33">
        <v>160</v>
      </c>
      <c r="G10" s="33">
        <v>130</v>
      </c>
      <c r="H10" s="33">
        <v>120</v>
      </c>
      <c r="I10" s="33">
        <v>110</v>
      </c>
    </row>
    <row r="11" spans="1:9" x14ac:dyDescent="0.25">
      <c r="C11" s="34" t="s">
        <v>30</v>
      </c>
      <c r="D11" s="34">
        <f>+D10/$A$10</f>
        <v>120.20815280171307</v>
      </c>
      <c r="E11" s="34">
        <f t="shared" ref="E11:I11" si="0">+E10/$A$10</f>
        <v>120.20815280171307</v>
      </c>
      <c r="F11" s="34">
        <f t="shared" si="0"/>
        <v>113.13708498984759</v>
      </c>
      <c r="G11" s="34">
        <f t="shared" si="0"/>
        <v>91.923881554251167</v>
      </c>
      <c r="H11" s="34">
        <f t="shared" si="0"/>
        <v>84.852813742385692</v>
      </c>
      <c r="I11" s="34">
        <f t="shared" si="0"/>
        <v>77.781745930520216</v>
      </c>
    </row>
    <row r="13" spans="1:9" x14ac:dyDescent="0.25">
      <c r="A13" s="7" t="s">
        <v>15</v>
      </c>
      <c r="C13" s="22" t="s">
        <v>2</v>
      </c>
      <c r="D13" s="75">
        <f t="shared" ref="D13:I13" si="1">+D11*D5</f>
        <v>120208.15280171306</v>
      </c>
      <c r="E13" s="76">
        <f t="shared" si="1"/>
        <v>120208.15280171306</v>
      </c>
      <c r="F13" s="76">
        <f t="shared" si="1"/>
        <v>113137.0849898476</v>
      </c>
      <c r="G13" s="76">
        <f t="shared" si="1"/>
        <v>91923.881554251173</v>
      </c>
      <c r="H13" s="76">
        <f t="shared" si="1"/>
        <v>84852.813742385697</v>
      </c>
      <c r="I13" s="76">
        <f t="shared" si="1"/>
        <v>77781.745930520221</v>
      </c>
    </row>
    <row r="14" spans="1:9" x14ac:dyDescent="0.25">
      <c r="A14" s="7"/>
      <c r="C14" s="23" t="s">
        <v>3</v>
      </c>
      <c r="D14" s="77">
        <f>+D11*D6</f>
        <v>120208.15280171306</v>
      </c>
      <c r="E14" s="77">
        <f t="shared" ref="E14:I14" si="2">+E11*E6</f>
        <v>120208.15280171306</v>
      </c>
      <c r="F14" s="77">
        <f t="shared" si="2"/>
        <v>113137.0849898476</v>
      </c>
      <c r="G14" s="77">
        <f t="shared" si="2"/>
        <v>91923.881554251173</v>
      </c>
      <c r="H14" s="77">
        <f t="shared" si="2"/>
        <v>84852.813742385697</v>
      </c>
      <c r="I14" s="77">
        <f t="shared" si="2"/>
        <v>77781.745930520221</v>
      </c>
    </row>
    <row r="15" spans="1:9" x14ac:dyDescent="0.25">
      <c r="A15" s="7"/>
    </row>
    <row r="17" spans="1:15" x14ac:dyDescent="0.25">
      <c r="A17" s="7" t="s">
        <v>16</v>
      </c>
    </row>
    <row r="18" spans="1:15" x14ac:dyDescent="0.25">
      <c r="C18" s="20" t="s">
        <v>0</v>
      </c>
      <c r="D18" s="21" t="str">
        <f t="array" ref="D18:I18">+TRANSPOSE(B20:B25)</f>
        <v>1M</v>
      </c>
      <c r="E18" s="21" t="str">
        <v>1M</v>
      </c>
      <c r="F18" s="21" t="str">
        <v>1M</v>
      </c>
      <c r="G18" s="21" t="str">
        <v>1M</v>
      </c>
      <c r="H18" s="21" t="str">
        <v>1M</v>
      </c>
      <c r="I18" s="22" t="str">
        <v>1M</v>
      </c>
      <c r="J18" s="21" t="s">
        <v>3</v>
      </c>
      <c r="K18" s="21" t="s">
        <v>3</v>
      </c>
      <c r="L18" s="21" t="s">
        <v>3</v>
      </c>
      <c r="M18" s="21" t="s">
        <v>3</v>
      </c>
      <c r="N18" s="21" t="s">
        <v>3</v>
      </c>
      <c r="O18" s="22" t="s">
        <v>3</v>
      </c>
    </row>
    <row r="19" spans="1:15" x14ac:dyDescent="0.25">
      <c r="B19" s="17" t="s">
        <v>0</v>
      </c>
      <c r="C19" s="66" t="s">
        <v>1</v>
      </c>
      <c r="D19" s="67">
        <f t="array" ref="D19:I19">+TRANSPOSE(C20:C25)</f>
        <v>0.25</v>
      </c>
      <c r="E19" s="67">
        <v>0.5</v>
      </c>
      <c r="F19" s="67">
        <v>1</v>
      </c>
      <c r="G19" s="67">
        <v>2</v>
      </c>
      <c r="H19" s="67">
        <v>3</v>
      </c>
      <c r="I19" s="68">
        <v>5</v>
      </c>
      <c r="J19" s="67">
        <v>0.25</v>
      </c>
      <c r="K19" s="67">
        <v>0.5</v>
      </c>
      <c r="L19" s="67">
        <v>1</v>
      </c>
      <c r="M19" s="67">
        <v>2</v>
      </c>
      <c r="N19" s="67">
        <v>3</v>
      </c>
      <c r="O19" s="68">
        <v>5</v>
      </c>
    </row>
    <row r="20" spans="1:15" x14ac:dyDescent="0.25">
      <c r="B20" s="18" t="s">
        <v>2</v>
      </c>
      <c r="C20" s="69">
        <v>0.25</v>
      </c>
      <c r="D20" s="24">
        <f>+correlaciones!Z14</f>
        <v>1</v>
      </c>
      <c r="E20" s="25">
        <f>+correlaciones!AA14</f>
        <v>0.97044553354850815</v>
      </c>
      <c r="F20" s="25">
        <f>+correlaciones!AB14</f>
        <v>0.91393118527122819</v>
      </c>
      <c r="G20" s="25">
        <f>+correlaciones!AC14</f>
        <v>0.81058424597018708</v>
      </c>
      <c r="H20" s="25">
        <f>+correlaciones!AD14</f>
        <v>0.71892373343192617</v>
      </c>
      <c r="I20" s="26">
        <f>+correlaciones!AE14</f>
        <v>0.56552543869953709</v>
      </c>
      <c r="J20" s="25">
        <f>+correlaciones!AJ14</f>
        <v>0.99900000000000011</v>
      </c>
      <c r="K20" s="25">
        <f>+correlaciones!AK14</f>
        <v>0.96947508801495974</v>
      </c>
      <c r="L20" s="25">
        <f>+correlaciones!AL14</f>
        <v>0.91301725408595702</v>
      </c>
      <c r="M20" s="25">
        <f>+correlaciones!AM14</f>
        <v>0.80977366172421694</v>
      </c>
      <c r="N20" s="25">
        <f>+correlaciones!AN14</f>
        <v>0.71820480969849432</v>
      </c>
      <c r="O20" s="26">
        <f>+correlaciones!AO14</f>
        <v>0.56495991326083761</v>
      </c>
    </row>
    <row r="21" spans="1:15" x14ac:dyDescent="0.25">
      <c r="B21" s="18" t="s">
        <v>2</v>
      </c>
      <c r="C21" s="70">
        <v>0.5</v>
      </c>
      <c r="D21" s="27">
        <f>+correlaciones!Z15</f>
        <v>0.97044553354850815</v>
      </c>
      <c r="E21" s="28">
        <f>+correlaciones!AA15</f>
        <v>1</v>
      </c>
      <c r="F21" s="28">
        <f>+correlaciones!AB15</f>
        <v>0.97044553354850815</v>
      </c>
      <c r="G21" s="28">
        <f>+correlaciones!AC15</f>
        <v>0.91393118527122819</v>
      </c>
      <c r="H21" s="28">
        <f>+correlaciones!AD15</f>
        <v>0.86070797642505781</v>
      </c>
      <c r="I21" s="29">
        <f>+correlaciones!AE15</f>
        <v>0.76337949433685315</v>
      </c>
      <c r="J21" s="28">
        <f>+correlaciones!AJ15</f>
        <v>0.96947508801495974</v>
      </c>
      <c r="K21" s="28">
        <f>+correlaciones!AK15</f>
        <v>0.99900000000000011</v>
      </c>
      <c r="L21" s="28">
        <f>+correlaciones!AL15</f>
        <v>0.96947508801495974</v>
      </c>
      <c r="M21" s="28">
        <f>+correlaciones!AM15</f>
        <v>0.91301725408595702</v>
      </c>
      <c r="N21" s="28">
        <f>+correlaciones!AN15</f>
        <v>0.8598472684486328</v>
      </c>
      <c r="O21" s="29">
        <f>+correlaciones!AO15</f>
        <v>0.76261611484251635</v>
      </c>
    </row>
    <row r="22" spans="1:15" x14ac:dyDescent="0.25">
      <c r="B22" s="18" t="s">
        <v>2</v>
      </c>
      <c r="C22" s="70">
        <v>1</v>
      </c>
      <c r="D22" s="27">
        <f>+correlaciones!Z16</f>
        <v>0.91393118527122819</v>
      </c>
      <c r="E22" s="28">
        <f>+correlaciones!AA16</f>
        <v>0.97044553354850815</v>
      </c>
      <c r="F22" s="28">
        <f>+correlaciones!AB16</f>
        <v>1</v>
      </c>
      <c r="G22" s="28">
        <f>+correlaciones!AC16</f>
        <v>0.97044553354850815</v>
      </c>
      <c r="H22" s="28">
        <f>+correlaciones!AD16</f>
        <v>0.94176453358424872</v>
      </c>
      <c r="I22" s="29">
        <f>+correlaciones!AE16</f>
        <v>0.88692043671715748</v>
      </c>
      <c r="J22" s="28">
        <f>+correlaciones!AJ16</f>
        <v>0.91301725408595702</v>
      </c>
      <c r="K22" s="28">
        <f>+correlaciones!AK16</f>
        <v>0.96947508801495974</v>
      </c>
      <c r="L22" s="28">
        <f>+correlaciones!AL16</f>
        <v>0.99900000000000011</v>
      </c>
      <c r="M22" s="28">
        <f>+correlaciones!AM16</f>
        <v>0.96947508801495974</v>
      </c>
      <c r="N22" s="28">
        <f>+correlaciones!AN16</f>
        <v>0.94082276905066453</v>
      </c>
      <c r="O22" s="29">
        <f>+correlaciones!AO16</f>
        <v>0.88603351628044047</v>
      </c>
    </row>
    <row r="23" spans="1:15" x14ac:dyDescent="0.25">
      <c r="B23" s="18" t="s">
        <v>2</v>
      </c>
      <c r="C23" s="70">
        <v>2</v>
      </c>
      <c r="D23" s="27">
        <f>+correlaciones!Z17</f>
        <v>0.81058424597018708</v>
      </c>
      <c r="E23" s="28">
        <f>+correlaciones!AA17</f>
        <v>0.91393118527122819</v>
      </c>
      <c r="F23" s="28">
        <f>+correlaciones!AB17</f>
        <v>0.97044553354850815</v>
      </c>
      <c r="G23" s="28">
        <f>+correlaciones!AC17</f>
        <v>1</v>
      </c>
      <c r="H23" s="28">
        <f>+correlaciones!AD17</f>
        <v>0.98511193960306265</v>
      </c>
      <c r="I23" s="29">
        <f>+correlaciones!AE17</f>
        <v>0.95599748183309996</v>
      </c>
      <c r="J23" s="28">
        <f>+correlaciones!AJ17</f>
        <v>0.80977366172421694</v>
      </c>
      <c r="K23" s="28">
        <f>+correlaciones!AK17</f>
        <v>0.91301725408595702</v>
      </c>
      <c r="L23" s="28">
        <f>+correlaciones!AL17</f>
        <v>0.96947508801495974</v>
      </c>
      <c r="M23" s="28">
        <f>+correlaciones!AM17</f>
        <v>0.99900000000000011</v>
      </c>
      <c r="N23" s="28">
        <f>+correlaciones!AN17</f>
        <v>0.98412682766345971</v>
      </c>
      <c r="O23" s="29">
        <f>+correlaciones!AO17</f>
        <v>0.95504148435126701</v>
      </c>
    </row>
    <row r="24" spans="1:15" x14ac:dyDescent="0.25">
      <c r="B24" s="18" t="s">
        <v>2</v>
      </c>
      <c r="C24" s="70">
        <v>3</v>
      </c>
      <c r="D24" s="27">
        <f>+correlaciones!Z18</f>
        <v>0.71892373343192617</v>
      </c>
      <c r="E24" s="28">
        <f>+correlaciones!AA18</f>
        <v>0.86070797642505781</v>
      </c>
      <c r="F24" s="28">
        <f>+correlaciones!AB18</f>
        <v>0.94176453358424872</v>
      </c>
      <c r="G24" s="28">
        <f>+correlaciones!AC18</f>
        <v>0.98511193960306265</v>
      </c>
      <c r="H24" s="28">
        <f>+correlaciones!AD18</f>
        <v>1</v>
      </c>
      <c r="I24" s="29">
        <f>+correlaciones!AE18</f>
        <v>0.98019867330675525</v>
      </c>
      <c r="J24" s="28">
        <f>+correlaciones!AJ18</f>
        <v>0.71820480969849432</v>
      </c>
      <c r="K24" s="28">
        <f>+correlaciones!AK18</f>
        <v>0.8598472684486328</v>
      </c>
      <c r="L24" s="28">
        <f>+correlaciones!AL18</f>
        <v>0.94082276905066453</v>
      </c>
      <c r="M24" s="28">
        <f>+correlaciones!AM18</f>
        <v>0.98412682766345971</v>
      </c>
      <c r="N24" s="28">
        <f>+correlaciones!AN18</f>
        <v>0.99900000000000011</v>
      </c>
      <c r="O24" s="29">
        <f>+correlaciones!AO18</f>
        <v>0.97921847463344858</v>
      </c>
    </row>
    <row r="25" spans="1:15" x14ac:dyDescent="0.25">
      <c r="B25" s="19" t="s">
        <v>2</v>
      </c>
      <c r="C25" s="66">
        <v>5</v>
      </c>
      <c r="D25" s="30">
        <f>+correlaciones!Z19</f>
        <v>0.56552543869953709</v>
      </c>
      <c r="E25" s="31">
        <f>+correlaciones!AA19</f>
        <v>0.76337949433685315</v>
      </c>
      <c r="F25" s="31">
        <f>+correlaciones!AB19</f>
        <v>0.88692043671715748</v>
      </c>
      <c r="G25" s="31">
        <f>+correlaciones!AC19</f>
        <v>0.95599748183309996</v>
      </c>
      <c r="H25" s="31">
        <f>+correlaciones!AD19</f>
        <v>0.98019867330675525</v>
      </c>
      <c r="I25" s="32">
        <f>+correlaciones!AE19</f>
        <v>1</v>
      </c>
      <c r="J25" s="31">
        <f>+correlaciones!AJ19</f>
        <v>0.56495991326083761</v>
      </c>
      <c r="K25" s="31">
        <f>+correlaciones!AK19</f>
        <v>0.76261611484251635</v>
      </c>
      <c r="L25" s="31">
        <f>+correlaciones!AL19</f>
        <v>0.88603351628044047</v>
      </c>
      <c r="M25" s="31">
        <f>+correlaciones!AM19</f>
        <v>0.95504148435126701</v>
      </c>
      <c r="N25" s="31">
        <f>+correlaciones!AN19</f>
        <v>0.97921847463344858</v>
      </c>
      <c r="O25" s="32">
        <f>+correlaciones!AO19</f>
        <v>0.99900000000000011</v>
      </c>
    </row>
    <row r="26" spans="1:15" x14ac:dyDescent="0.25">
      <c r="B26" s="18" t="s">
        <v>3</v>
      </c>
      <c r="C26" s="69">
        <v>0.25</v>
      </c>
      <c r="D26" s="27">
        <f>+correlaciones!Z24</f>
        <v>0.99900000000000011</v>
      </c>
      <c r="E26" s="28">
        <f>+correlaciones!AA24</f>
        <v>0.96947508801495974</v>
      </c>
      <c r="F26" s="28">
        <f>+correlaciones!AB24</f>
        <v>0.91301725408595702</v>
      </c>
      <c r="G26" s="28">
        <f>+correlaciones!AC24</f>
        <v>0.80977366172421694</v>
      </c>
      <c r="H26" s="28">
        <f>+correlaciones!AD24</f>
        <v>0.71820480969849432</v>
      </c>
      <c r="I26" s="29">
        <f>+correlaciones!AE24</f>
        <v>0.56495991326083761</v>
      </c>
      <c r="J26" s="28">
        <f>+correlaciones!AJ24</f>
        <v>1</v>
      </c>
      <c r="K26" s="28">
        <f>+correlaciones!AK24</f>
        <v>0.97044553354850815</v>
      </c>
      <c r="L26" s="28">
        <f>+correlaciones!AL24</f>
        <v>0.91393118527122819</v>
      </c>
      <c r="M26" s="28">
        <f>+correlaciones!AM24</f>
        <v>0.81058424597018708</v>
      </c>
      <c r="N26" s="28">
        <f>+correlaciones!AN24</f>
        <v>0.71892373343192617</v>
      </c>
      <c r="O26" s="29">
        <f>+correlaciones!AO24</f>
        <v>0.56552543869953709</v>
      </c>
    </row>
    <row r="27" spans="1:15" x14ac:dyDescent="0.25">
      <c r="B27" s="18" t="s">
        <v>3</v>
      </c>
      <c r="C27" s="70">
        <v>0.5</v>
      </c>
      <c r="D27" s="27">
        <f>+correlaciones!Z25</f>
        <v>0.96947508801495974</v>
      </c>
      <c r="E27" s="28">
        <f>+correlaciones!AA25</f>
        <v>0.99900000000000011</v>
      </c>
      <c r="F27" s="28">
        <f>+correlaciones!AB25</f>
        <v>0.96947508801495974</v>
      </c>
      <c r="G27" s="28">
        <f>+correlaciones!AC25</f>
        <v>0.91301725408595702</v>
      </c>
      <c r="H27" s="28">
        <f>+correlaciones!AD25</f>
        <v>0.8598472684486328</v>
      </c>
      <c r="I27" s="29">
        <f>+correlaciones!AE25</f>
        <v>0.76261611484251635</v>
      </c>
      <c r="J27" s="28">
        <f>+correlaciones!AJ25</f>
        <v>0.97044553354850815</v>
      </c>
      <c r="K27" s="28">
        <f>+correlaciones!AK25</f>
        <v>1</v>
      </c>
      <c r="L27" s="28">
        <f>+correlaciones!AL25</f>
        <v>0.97044553354850815</v>
      </c>
      <c r="M27" s="28">
        <f>+correlaciones!AM25</f>
        <v>0.91393118527122819</v>
      </c>
      <c r="N27" s="28">
        <f>+correlaciones!AN25</f>
        <v>0.86070797642505781</v>
      </c>
      <c r="O27" s="29">
        <f>+correlaciones!AO25</f>
        <v>0.76337949433685315</v>
      </c>
    </row>
    <row r="28" spans="1:15" x14ac:dyDescent="0.25">
      <c r="B28" s="18" t="s">
        <v>3</v>
      </c>
      <c r="C28" s="70">
        <v>1</v>
      </c>
      <c r="D28" s="27">
        <f>+correlaciones!Z26</f>
        <v>0.91301725408595702</v>
      </c>
      <c r="E28" s="28">
        <f>+correlaciones!AA26</f>
        <v>0.96947508801495974</v>
      </c>
      <c r="F28" s="28">
        <f>+correlaciones!AB26</f>
        <v>0.99900000000000011</v>
      </c>
      <c r="G28" s="28">
        <f>+correlaciones!AC26</f>
        <v>0.96947508801495974</v>
      </c>
      <c r="H28" s="28">
        <f>+correlaciones!AD26</f>
        <v>0.94082276905066453</v>
      </c>
      <c r="I28" s="29">
        <f>+correlaciones!AE26</f>
        <v>0.88603351628044047</v>
      </c>
      <c r="J28" s="28">
        <f>+correlaciones!AJ26</f>
        <v>0.91393118527122819</v>
      </c>
      <c r="K28" s="28">
        <f>+correlaciones!AK26</f>
        <v>0.97044553354850815</v>
      </c>
      <c r="L28" s="28">
        <f>+correlaciones!AL26</f>
        <v>1</v>
      </c>
      <c r="M28" s="28">
        <f>+correlaciones!AM26</f>
        <v>0.97044553354850815</v>
      </c>
      <c r="N28" s="28">
        <f>+correlaciones!AN26</f>
        <v>0.94176453358424872</v>
      </c>
      <c r="O28" s="29">
        <f>+correlaciones!AO26</f>
        <v>0.88692043671715748</v>
      </c>
    </row>
    <row r="29" spans="1:15" x14ac:dyDescent="0.25">
      <c r="B29" s="18" t="s">
        <v>3</v>
      </c>
      <c r="C29" s="70">
        <v>1</v>
      </c>
      <c r="D29" s="27">
        <f>+correlaciones!Z27</f>
        <v>0.80977366172421694</v>
      </c>
      <c r="E29" s="28">
        <f>+correlaciones!AA27</f>
        <v>0.91301725408595702</v>
      </c>
      <c r="F29" s="28">
        <f>+correlaciones!AB27</f>
        <v>0.96947508801495974</v>
      </c>
      <c r="G29" s="28">
        <f>+correlaciones!AC27</f>
        <v>0.99900000000000011</v>
      </c>
      <c r="H29" s="28">
        <f>+correlaciones!AD27</f>
        <v>0.98412682766345971</v>
      </c>
      <c r="I29" s="29">
        <f>+correlaciones!AE27</f>
        <v>0.95504148435126701</v>
      </c>
      <c r="J29" s="28">
        <f>+correlaciones!AJ27</f>
        <v>0.81058424597018708</v>
      </c>
      <c r="K29" s="28">
        <f>+correlaciones!AK27</f>
        <v>0.91393118527122819</v>
      </c>
      <c r="L29" s="28">
        <f>+correlaciones!AL27</f>
        <v>0.97044553354850815</v>
      </c>
      <c r="M29" s="28">
        <f>+correlaciones!AM27</f>
        <v>1</v>
      </c>
      <c r="N29" s="28">
        <f>+correlaciones!AN27</f>
        <v>0.98511193960306265</v>
      </c>
      <c r="O29" s="29">
        <f>+correlaciones!AO27</f>
        <v>0.95599748183309996</v>
      </c>
    </row>
    <row r="30" spans="1:15" x14ac:dyDescent="0.25">
      <c r="B30" s="18" t="s">
        <v>3</v>
      </c>
      <c r="C30" s="70">
        <v>1</v>
      </c>
      <c r="D30" s="27">
        <f>+correlaciones!Z28</f>
        <v>0.71820480969849432</v>
      </c>
      <c r="E30" s="28">
        <f>+correlaciones!AA28</f>
        <v>0.8598472684486328</v>
      </c>
      <c r="F30" s="28">
        <f>+correlaciones!AB28</f>
        <v>0.94082276905066453</v>
      </c>
      <c r="G30" s="28">
        <f>+correlaciones!AC28</f>
        <v>0.98412682766345971</v>
      </c>
      <c r="H30" s="28">
        <f>+correlaciones!AD28</f>
        <v>0.99900000000000011</v>
      </c>
      <c r="I30" s="29">
        <f>+correlaciones!AE28</f>
        <v>0.97921847463344858</v>
      </c>
      <c r="J30" s="28">
        <f>+correlaciones!AJ28</f>
        <v>0.71892373343192617</v>
      </c>
      <c r="K30" s="28">
        <f>+correlaciones!AK28</f>
        <v>0.86070797642505781</v>
      </c>
      <c r="L30" s="28">
        <f>+correlaciones!AL28</f>
        <v>0.94176453358424872</v>
      </c>
      <c r="M30" s="28">
        <f>+correlaciones!AM28</f>
        <v>0.98511193960306265</v>
      </c>
      <c r="N30" s="28">
        <f>+correlaciones!AN28</f>
        <v>1</v>
      </c>
      <c r="O30" s="29">
        <f>+correlaciones!AO28</f>
        <v>0.98019867330675525</v>
      </c>
    </row>
    <row r="31" spans="1:15" x14ac:dyDescent="0.25">
      <c r="B31" s="19" t="s">
        <v>3</v>
      </c>
      <c r="C31" s="66">
        <v>1</v>
      </c>
      <c r="D31" s="30">
        <f>+correlaciones!Z29</f>
        <v>0.56495991326083761</v>
      </c>
      <c r="E31" s="31">
        <f>+correlaciones!AA29</f>
        <v>0.76261611484251635</v>
      </c>
      <c r="F31" s="31">
        <f>+correlaciones!AB29</f>
        <v>0.88603351628044047</v>
      </c>
      <c r="G31" s="31">
        <f>+correlaciones!AC29</f>
        <v>0.95504148435126701</v>
      </c>
      <c r="H31" s="31">
        <f>+correlaciones!AD29</f>
        <v>0.97921847463344858</v>
      </c>
      <c r="I31" s="32">
        <f>+correlaciones!AE29</f>
        <v>0.99900000000000011</v>
      </c>
      <c r="J31" s="31">
        <f>+correlaciones!AJ29</f>
        <v>0.56552543869953709</v>
      </c>
      <c r="K31" s="31">
        <f>+correlaciones!AK29</f>
        <v>0.76337949433685315</v>
      </c>
      <c r="L31" s="31">
        <f>+correlaciones!AL29</f>
        <v>0.88692043671715748</v>
      </c>
      <c r="M31" s="31">
        <f>+correlaciones!AM29</f>
        <v>0.95599748183309996</v>
      </c>
      <c r="N31" s="31">
        <f>+correlaciones!AN29</f>
        <v>0.98019867330675525</v>
      </c>
      <c r="O31" s="32">
        <f>+correlaciones!AO29</f>
        <v>1</v>
      </c>
    </row>
    <row r="33" spans="1:15" x14ac:dyDescent="0.25">
      <c r="A33" s="7" t="s">
        <v>21</v>
      </c>
      <c r="B33" s="1"/>
      <c r="D33" s="40">
        <f>+D13</f>
        <v>120208.15280171306</v>
      </c>
      <c r="E33" s="41">
        <f t="shared" ref="E33:I33" si="3">+E13</f>
        <v>120208.15280171306</v>
      </c>
      <c r="F33" s="41">
        <f t="shared" si="3"/>
        <v>113137.0849898476</v>
      </c>
      <c r="G33" s="41">
        <f t="shared" si="3"/>
        <v>91923.881554251173</v>
      </c>
      <c r="H33" s="41">
        <f t="shared" si="3"/>
        <v>84852.813742385697</v>
      </c>
      <c r="I33" s="42">
        <f t="shared" si="3"/>
        <v>77781.745930520221</v>
      </c>
      <c r="J33" s="41">
        <f>+D14</f>
        <v>120208.15280171306</v>
      </c>
      <c r="K33" s="41">
        <f t="shared" ref="K33:O33" si="4">+E14</f>
        <v>120208.15280171306</v>
      </c>
      <c r="L33" s="41">
        <f t="shared" si="4"/>
        <v>113137.0849898476</v>
      </c>
      <c r="M33" s="41">
        <f t="shared" si="4"/>
        <v>91923.881554251173</v>
      </c>
      <c r="N33" s="41">
        <f t="shared" si="4"/>
        <v>84852.813742385697</v>
      </c>
      <c r="O33" s="42">
        <f t="shared" si="4"/>
        <v>77781.745930520221</v>
      </c>
    </row>
    <row r="34" spans="1:15" x14ac:dyDescent="0.25">
      <c r="A34" s="1"/>
      <c r="C34" s="20" t="s">
        <v>0</v>
      </c>
      <c r="D34" s="21" t="str">
        <f t="array" ref="D34:I34">+TRANSPOSE(B36:B41)</f>
        <v>1M</v>
      </c>
      <c r="E34" s="21" t="str">
        <v>1M</v>
      </c>
      <c r="F34" s="21" t="str">
        <v>1M</v>
      </c>
      <c r="G34" s="21" t="str">
        <v>1M</v>
      </c>
      <c r="H34" s="21" t="str">
        <v>1M</v>
      </c>
      <c r="I34" s="22" t="str">
        <v>1M</v>
      </c>
      <c r="J34" s="21" t="s">
        <v>3</v>
      </c>
      <c r="K34" s="21" t="s">
        <v>3</v>
      </c>
      <c r="L34" s="21" t="s">
        <v>3</v>
      </c>
      <c r="M34" s="21" t="s">
        <v>3</v>
      </c>
      <c r="N34" s="21" t="s">
        <v>3</v>
      </c>
      <c r="O34" s="22" t="s">
        <v>3</v>
      </c>
    </row>
    <row r="35" spans="1:15" x14ac:dyDescent="0.25">
      <c r="B35" s="17" t="s">
        <v>0</v>
      </c>
      <c r="C35" s="66" t="s">
        <v>1</v>
      </c>
      <c r="D35" s="67">
        <f t="array" ref="D35:I35">+TRANSPOSE(C36:C41)</f>
        <v>0.25</v>
      </c>
      <c r="E35" s="67">
        <v>0.5</v>
      </c>
      <c r="F35" s="67">
        <v>1</v>
      </c>
      <c r="G35" s="67">
        <v>2</v>
      </c>
      <c r="H35" s="67">
        <v>3</v>
      </c>
      <c r="I35" s="68">
        <v>5</v>
      </c>
      <c r="J35" s="67">
        <v>0.25</v>
      </c>
      <c r="K35" s="67">
        <v>0.5</v>
      </c>
      <c r="L35" s="67">
        <v>1</v>
      </c>
      <c r="M35" s="67">
        <v>2</v>
      </c>
      <c r="N35" s="67">
        <v>3</v>
      </c>
      <c r="O35" s="68">
        <v>5</v>
      </c>
    </row>
    <row r="36" spans="1:15" x14ac:dyDescent="0.25">
      <c r="A36" s="43">
        <f t="array" ref="A36:A47">+TRANSPOSE(D33:O33)</f>
        <v>120208.15280171306</v>
      </c>
      <c r="B36" s="18" t="s">
        <v>2</v>
      </c>
      <c r="C36" s="69">
        <v>0.25</v>
      </c>
      <c r="D36" s="78">
        <f>+$A36*D$33</f>
        <v>14449999999.999996</v>
      </c>
      <c r="E36" s="79">
        <f t="shared" ref="E36:O47" si="5">+$A36*E$33</f>
        <v>14449999999.999996</v>
      </c>
      <c r="F36" s="79">
        <f t="shared" si="5"/>
        <v>13599999999.999998</v>
      </c>
      <c r="G36" s="79">
        <f t="shared" si="5"/>
        <v>11049999999.999998</v>
      </c>
      <c r="H36" s="79">
        <f t="shared" si="5"/>
        <v>10199999999.999998</v>
      </c>
      <c r="I36" s="80">
        <f t="shared" si="5"/>
        <v>9349999999.9999981</v>
      </c>
      <c r="J36" s="79">
        <f t="shared" si="5"/>
        <v>14449999999.999996</v>
      </c>
      <c r="K36" s="79">
        <f t="shared" si="5"/>
        <v>14449999999.999996</v>
      </c>
      <c r="L36" s="79">
        <f t="shared" si="5"/>
        <v>13599999999.999998</v>
      </c>
      <c r="M36" s="79">
        <f t="shared" si="5"/>
        <v>11049999999.999998</v>
      </c>
      <c r="N36" s="79">
        <f t="shared" si="5"/>
        <v>10199999999.999998</v>
      </c>
      <c r="O36" s="80">
        <f t="shared" si="5"/>
        <v>9349999999.9999981</v>
      </c>
    </row>
    <row r="37" spans="1:15" x14ac:dyDescent="0.25">
      <c r="A37" s="44">
        <v>120208.15280171306</v>
      </c>
      <c r="B37" s="18" t="s">
        <v>2</v>
      </c>
      <c r="C37" s="70">
        <v>0.5</v>
      </c>
      <c r="D37" s="81">
        <f t="shared" ref="D37:D47" si="6">+$A37*D$33</f>
        <v>14449999999.999996</v>
      </c>
      <c r="E37" s="82">
        <f t="shared" si="5"/>
        <v>14449999999.999996</v>
      </c>
      <c r="F37" s="82">
        <f t="shared" si="5"/>
        <v>13599999999.999998</v>
      </c>
      <c r="G37" s="82">
        <f t="shared" si="5"/>
        <v>11049999999.999998</v>
      </c>
      <c r="H37" s="82">
        <f t="shared" si="5"/>
        <v>10199999999.999998</v>
      </c>
      <c r="I37" s="83">
        <f t="shared" si="5"/>
        <v>9349999999.9999981</v>
      </c>
      <c r="J37" s="82">
        <f t="shared" si="5"/>
        <v>14449999999.999996</v>
      </c>
      <c r="K37" s="82">
        <f t="shared" si="5"/>
        <v>14449999999.999996</v>
      </c>
      <c r="L37" s="82">
        <f t="shared" si="5"/>
        <v>13599999999.999998</v>
      </c>
      <c r="M37" s="82">
        <f t="shared" si="5"/>
        <v>11049999999.999998</v>
      </c>
      <c r="N37" s="82">
        <f t="shared" si="5"/>
        <v>10199999999.999998</v>
      </c>
      <c r="O37" s="83">
        <f t="shared" si="5"/>
        <v>9349999999.9999981</v>
      </c>
    </row>
    <row r="38" spans="1:15" x14ac:dyDescent="0.25">
      <c r="A38" s="44">
        <v>113137.0849898476</v>
      </c>
      <c r="B38" s="18" t="s">
        <v>2</v>
      </c>
      <c r="C38" s="70">
        <v>1</v>
      </c>
      <c r="D38" s="81">
        <f t="shared" si="6"/>
        <v>13599999999.999998</v>
      </c>
      <c r="E38" s="82">
        <f t="shared" si="5"/>
        <v>13599999999.999998</v>
      </c>
      <c r="F38" s="82">
        <f t="shared" si="5"/>
        <v>12800000000</v>
      </c>
      <c r="G38" s="82">
        <f t="shared" si="5"/>
        <v>10400000000</v>
      </c>
      <c r="H38" s="82">
        <f t="shared" si="5"/>
        <v>9600000000</v>
      </c>
      <c r="I38" s="83">
        <f t="shared" si="5"/>
        <v>8799999999.9999981</v>
      </c>
      <c r="J38" s="82">
        <f t="shared" si="5"/>
        <v>13599999999.999998</v>
      </c>
      <c r="K38" s="82">
        <f t="shared" si="5"/>
        <v>13599999999.999998</v>
      </c>
      <c r="L38" s="82">
        <f t="shared" si="5"/>
        <v>12800000000</v>
      </c>
      <c r="M38" s="82">
        <f t="shared" si="5"/>
        <v>10400000000</v>
      </c>
      <c r="N38" s="82">
        <f t="shared" si="5"/>
        <v>9600000000</v>
      </c>
      <c r="O38" s="83">
        <f t="shared" si="5"/>
        <v>8799999999.9999981</v>
      </c>
    </row>
    <row r="39" spans="1:15" x14ac:dyDescent="0.25">
      <c r="A39" s="44">
        <v>91923.881554251173</v>
      </c>
      <c r="B39" s="18" t="s">
        <v>2</v>
      </c>
      <c r="C39" s="70">
        <v>2</v>
      </c>
      <c r="D39" s="81">
        <f t="shared" si="6"/>
        <v>11049999999.999998</v>
      </c>
      <c r="E39" s="82">
        <f t="shared" si="5"/>
        <v>11049999999.999998</v>
      </c>
      <c r="F39" s="82">
        <f t="shared" si="5"/>
        <v>10400000000</v>
      </c>
      <c r="G39" s="82">
        <f t="shared" si="5"/>
        <v>8449999999.999999</v>
      </c>
      <c r="H39" s="82">
        <f t="shared" si="5"/>
        <v>7799999999.999999</v>
      </c>
      <c r="I39" s="83">
        <f t="shared" si="5"/>
        <v>7149999999.999999</v>
      </c>
      <c r="J39" s="82">
        <f t="shared" si="5"/>
        <v>11049999999.999998</v>
      </c>
      <c r="K39" s="82">
        <f t="shared" si="5"/>
        <v>11049999999.999998</v>
      </c>
      <c r="L39" s="82">
        <f t="shared" si="5"/>
        <v>10400000000</v>
      </c>
      <c r="M39" s="82">
        <f t="shared" si="5"/>
        <v>8449999999.999999</v>
      </c>
      <c r="N39" s="82">
        <f t="shared" si="5"/>
        <v>7799999999.999999</v>
      </c>
      <c r="O39" s="83">
        <f t="shared" si="5"/>
        <v>7149999999.999999</v>
      </c>
    </row>
    <row r="40" spans="1:15" x14ac:dyDescent="0.25">
      <c r="A40" s="44">
        <v>84852.813742385697</v>
      </c>
      <c r="B40" s="18" t="s">
        <v>2</v>
      </c>
      <c r="C40" s="70">
        <v>3</v>
      </c>
      <c r="D40" s="81">
        <f t="shared" si="6"/>
        <v>10199999999.999998</v>
      </c>
      <c r="E40" s="82">
        <f t="shared" si="5"/>
        <v>10199999999.999998</v>
      </c>
      <c r="F40" s="82">
        <f t="shared" si="5"/>
        <v>9600000000</v>
      </c>
      <c r="G40" s="82">
        <f t="shared" si="5"/>
        <v>7799999999.999999</v>
      </c>
      <c r="H40" s="82">
        <f t="shared" si="5"/>
        <v>7199999999.999999</v>
      </c>
      <c r="I40" s="83">
        <f t="shared" si="5"/>
        <v>6599999999.999999</v>
      </c>
      <c r="J40" s="82">
        <f t="shared" si="5"/>
        <v>10199999999.999998</v>
      </c>
      <c r="K40" s="82">
        <f t="shared" si="5"/>
        <v>10199999999.999998</v>
      </c>
      <c r="L40" s="82">
        <f t="shared" si="5"/>
        <v>9600000000</v>
      </c>
      <c r="M40" s="82">
        <f t="shared" si="5"/>
        <v>7799999999.999999</v>
      </c>
      <c r="N40" s="82">
        <f t="shared" si="5"/>
        <v>7199999999.999999</v>
      </c>
      <c r="O40" s="83">
        <f t="shared" si="5"/>
        <v>6599999999.999999</v>
      </c>
    </row>
    <row r="41" spans="1:15" x14ac:dyDescent="0.25">
      <c r="A41" s="45">
        <v>77781.745930520221</v>
      </c>
      <c r="B41" s="19" t="s">
        <v>2</v>
      </c>
      <c r="C41" s="66">
        <v>5</v>
      </c>
      <c r="D41" s="84">
        <f t="shared" si="6"/>
        <v>9349999999.9999981</v>
      </c>
      <c r="E41" s="85">
        <f t="shared" si="5"/>
        <v>9349999999.9999981</v>
      </c>
      <c r="F41" s="85">
        <f t="shared" si="5"/>
        <v>8799999999.9999981</v>
      </c>
      <c r="G41" s="85">
        <f t="shared" si="5"/>
        <v>7149999999.999999</v>
      </c>
      <c r="H41" s="85">
        <f t="shared" si="5"/>
        <v>6599999999.999999</v>
      </c>
      <c r="I41" s="86">
        <f t="shared" si="5"/>
        <v>6049999999.999999</v>
      </c>
      <c r="J41" s="85">
        <f t="shared" si="5"/>
        <v>9349999999.9999981</v>
      </c>
      <c r="K41" s="85">
        <f t="shared" si="5"/>
        <v>9349999999.9999981</v>
      </c>
      <c r="L41" s="85">
        <f t="shared" si="5"/>
        <v>8799999999.9999981</v>
      </c>
      <c r="M41" s="85">
        <f t="shared" si="5"/>
        <v>7149999999.999999</v>
      </c>
      <c r="N41" s="85">
        <f t="shared" si="5"/>
        <v>6599999999.999999</v>
      </c>
      <c r="O41" s="86">
        <f t="shared" si="5"/>
        <v>6049999999.999999</v>
      </c>
    </row>
    <row r="42" spans="1:15" x14ac:dyDescent="0.25">
      <c r="A42" s="44">
        <v>120208.15280171306</v>
      </c>
      <c r="B42" s="18" t="s">
        <v>3</v>
      </c>
      <c r="C42" s="69">
        <v>0.25</v>
      </c>
      <c r="D42" s="81">
        <f t="shared" si="6"/>
        <v>14449999999.999996</v>
      </c>
      <c r="E42" s="82">
        <f t="shared" si="5"/>
        <v>14449999999.999996</v>
      </c>
      <c r="F42" s="82">
        <f t="shared" si="5"/>
        <v>13599999999.999998</v>
      </c>
      <c r="G42" s="82">
        <f t="shared" si="5"/>
        <v>11049999999.999998</v>
      </c>
      <c r="H42" s="82">
        <f t="shared" si="5"/>
        <v>10199999999.999998</v>
      </c>
      <c r="I42" s="83">
        <f t="shared" si="5"/>
        <v>9349999999.9999981</v>
      </c>
      <c r="J42" s="82">
        <f t="shared" si="5"/>
        <v>14449999999.999996</v>
      </c>
      <c r="K42" s="82">
        <f t="shared" si="5"/>
        <v>14449999999.999996</v>
      </c>
      <c r="L42" s="82">
        <f t="shared" si="5"/>
        <v>13599999999.999998</v>
      </c>
      <c r="M42" s="82">
        <f t="shared" si="5"/>
        <v>11049999999.999998</v>
      </c>
      <c r="N42" s="82">
        <f t="shared" si="5"/>
        <v>10199999999.999998</v>
      </c>
      <c r="O42" s="83">
        <f t="shared" si="5"/>
        <v>9349999999.9999981</v>
      </c>
    </row>
    <row r="43" spans="1:15" x14ac:dyDescent="0.25">
      <c r="A43" s="44">
        <v>120208.15280171306</v>
      </c>
      <c r="B43" s="18" t="s">
        <v>3</v>
      </c>
      <c r="C43" s="70">
        <v>0.5</v>
      </c>
      <c r="D43" s="81">
        <f t="shared" si="6"/>
        <v>14449999999.999996</v>
      </c>
      <c r="E43" s="82">
        <f t="shared" si="5"/>
        <v>14449999999.999996</v>
      </c>
      <c r="F43" s="82">
        <f t="shared" si="5"/>
        <v>13599999999.999998</v>
      </c>
      <c r="G43" s="82">
        <f t="shared" si="5"/>
        <v>11049999999.999998</v>
      </c>
      <c r="H43" s="82">
        <f t="shared" si="5"/>
        <v>10199999999.999998</v>
      </c>
      <c r="I43" s="83">
        <f t="shared" si="5"/>
        <v>9349999999.9999981</v>
      </c>
      <c r="J43" s="82">
        <f t="shared" si="5"/>
        <v>14449999999.999996</v>
      </c>
      <c r="K43" s="82">
        <f t="shared" si="5"/>
        <v>14449999999.999996</v>
      </c>
      <c r="L43" s="82">
        <f t="shared" si="5"/>
        <v>13599999999.999998</v>
      </c>
      <c r="M43" s="82">
        <f t="shared" si="5"/>
        <v>11049999999.999998</v>
      </c>
      <c r="N43" s="82">
        <f t="shared" si="5"/>
        <v>10199999999.999998</v>
      </c>
      <c r="O43" s="83">
        <f t="shared" si="5"/>
        <v>9349999999.9999981</v>
      </c>
    </row>
    <row r="44" spans="1:15" x14ac:dyDescent="0.25">
      <c r="A44" s="44">
        <v>113137.0849898476</v>
      </c>
      <c r="B44" s="18" t="s">
        <v>3</v>
      </c>
      <c r="C44" s="70">
        <v>1</v>
      </c>
      <c r="D44" s="81">
        <f t="shared" si="6"/>
        <v>13599999999.999998</v>
      </c>
      <c r="E44" s="82">
        <f t="shared" si="5"/>
        <v>13599999999.999998</v>
      </c>
      <c r="F44" s="82">
        <f t="shared" si="5"/>
        <v>12800000000</v>
      </c>
      <c r="G44" s="82">
        <f t="shared" si="5"/>
        <v>10400000000</v>
      </c>
      <c r="H44" s="82">
        <f t="shared" si="5"/>
        <v>9600000000</v>
      </c>
      <c r="I44" s="83">
        <f t="shared" si="5"/>
        <v>8799999999.9999981</v>
      </c>
      <c r="J44" s="82">
        <f t="shared" si="5"/>
        <v>13599999999.999998</v>
      </c>
      <c r="K44" s="82">
        <f t="shared" si="5"/>
        <v>13599999999.999998</v>
      </c>
      <c r="L44" s="82">
        <f t="shared" si="5"/>
        <v>12800000000</v>
      </c>
      <c r="M44" s="82">
        <f t="shared" si="5"/>
        <v>10400000000</v>
      </c>
      <c r="N44" s="82">
        <f t="shared" si="5"/>
        <v>9600000000</v>
      </c>
      <c r="O44" s="83">
        <f t="shared" si="5"/>
        <v>8799999999.9999981</v>
      </c>
    </row>
    <row r="45" spans="1:15" x14ac:dyDescent="0.25">
      <c r="A45" s="44">
        <v>91923.881554251173</v>
      </c>
      <c r="B45" s="18" t="s">
        <v>3</v>
      </c>
      <c r="C45" s="70">
        <v>2</v>
      </c>
      <c r="D45" s="81">
        <f t="shared" si="6"/>
        <v>11049999999.999998</v>
      </c>
      <c r="E45" s="82">
        <f t="shared" si="5"/>
        <v>11049999999.999998</v>
      </c>
      <c r="F45" s="82">
        <f t="shared" si="5"/>
        <v>10400000000</v>
      </c>
      <c r="G45" s="82">
        <f t="shared" si="5"/>
        <v>8449999999.999999</v>
      </c>
      <c r="H45" s="82">
        <f t="shared" si="5"/>
        <v>7799999999.999999</v>
      </c>
      <c r="I45" s="83">
        <f t="shared" si="5"/>
        <v>7149999999.999999</v>
      </c>
      <c r="J45" s="82">
        <f t="shared" si="5"/>
        <v>11049999999.999998</v>
      </c>
      <c r="K45" s="82">
        <f t="shared" si="5"/>
        <v>11049999999.999998</v>
      </c>
      <c r="L45" s="82">
        <f t="shared" si="5"/>
        <v>10400000000</v>
      </c>
      <c r="M45" s="82">
        <f t="shared" si="5"/>
        <v>8449999999.999999</v>
      </c>
      <c r="N45" s="82">
        <f t="shared" si="5"/>
        <v>7799999999.999999</v>
      </c>
      <c r="O45" s="83">
        <f t="shared" si="5"/>
        <v>7149999999.999999</v>
      </c>
    </row>
    <row r="46" spans="1:15" x14ac:dyDescent="0.25">
      <c r="A46" s="44">
        <v>84852.813742385697</v>
      </c>
      <c r="B46" s="18" t="s">
        <v>3</v>
      </c>
      <c r="C46" s="70">
        <v>3</v>
      </c>
      <c r="D46" s="81">
        <f t="shared" si="6"/>
        <v>10199999999.999998</v>
      </c>
      <c r="E46" s="82">
        <f t="shared" si="5"/>
        <v>10199999999.999998</v>
      </c>
      <c r="F46" s="82">
        <f t="shared" si="5"/>
        <v>9600000000</v>
      </c>
      <c r="G46" s="82">
        <f t="shared" si="5"/>
        <v>7799999999.999999</v>
      </c>
      <c r="H46" s="82">
        <f t="shared" si="5"/>
        <v>7199999999.999999</v>
      </c>
      <c r="I46" s="83">
        <f t="shared" si="5"/>
        <v>6599999999.999999</v>
      </c>
      <c r="J46" s="82">
        <f t="shared" si="5"/>
        <v>10199999999.999998</v>
      </c>
      <c r="K46" s="82">
        <f t="shared" si="5"/>
        <v>10199999999.999998</v>
      </c>
      <c r="L46" s="82">
        <f t="shared" si="5"/>
        <v>9600000000</v>
      </c>
      <c r="M46" s="82">
        <f t="shared" si="5"/>
        <v>7799999999.999999</v>
      </c>
      <c r="N46" s="82">
        <f t="shared" si="5"/>
        <v>7199999999.999999</v>
      </c>
      <c r="O46" s="83">
        <f t="shared" si="5"/>
        <v>6599999999.999999</v>
      </c>
    </row>
    <row r="47" spans="1:15" x14ac:dyDescent="0.25">
      <c r="A47" s="45">
        <v>77781.745930520221</v>
      </c>
      <c r="B47" s="19" t="s">
        <v>3</v>
      </c>
      <c r="C47" s="66">
        <v>5</v>
      </c>
      <c r="D47" s="84">
        <f t="shared" si="6"/>
        <v>9349999999.9999981</v>
      </c>
      <c r="E47" s="85">
        <f t="shared" si="5"/>
        <v>9349999999.9999981</v>
      </c>
      <c r="F47" s="85">
        <f t="shared" si="5"/>
        <v>8799999999.9999981</v>
      </c>
      <c r="G47" s="85">
        <f t="shared" si="5"/>
        <v>7149999999.999999</v>
      </c>
      <c r="H47" s="85">
        <f t="shared" si="5"/>
        <v>6599999999.999999</v>
      </c>
      <c r="I47" s="86">
        <f t="shared" si="5"/>
        <v>6049999999.999999</v>
      </c>
      <c r="J47" s="85">
        <f t="shared" si="5"/>
        <v>9349999999.9999981</v>
      </c>
      <c r="K47" s="85">
        <f t="shared" si="5"/>
        <v>9349999999.9999981</v>
      </c>
      <c r="L47" s="85">
        <f t="shared" si="5"/>
        <v>8799999999.9999981</v>
      </c>
      <c r="M47" s="85">
        <f t="shared" si="5"/>
        <v>7149999999.999999</v>
      </c>
      <c r="N47" s="85">
        <f t="shared" si="5"/>
        <v>6599999999.999999</v>
      </c>
      <c r="O47" s="86">
        <f t="shared" si="5"/>
        <v>6049999999.999999</v>
      </c>
    </row>
    <row r="50" spans="1:3" ht="15.75" x14ac:dyDescent="0.25">
      <c r="A50" s="1" t="s">
        <v>18</v>
      </c>
      <c r="C50" s="87">
        <f>+SQRT(SUMPRODUCT(D20:O31,D36:O47))</f>
        <v>1155118.9211411404</v>
      </c>
    </row>
    <row r="51" spans="1:3" x14ac:dyDescent="0.25">
      <c r="A51" s="1" t="s">
        <v>19</v>
      </c>
      <c r="B51" s="46">
        <f>+correlaciones!$Y$2</f>
        <v>1</v>
      </c>
    </row>
  </sheetData>
  <dataValidations count="1">
    <dataValidation type="list" allowBlank="1" showInputMessage="1" showErrorMessage="1" sqref="A9" xr:uid="{00000000-0002-0000-0200-000000000000}">
      <formula1>"SI,NO"</formula1>
    </dataValidation>
  </dataValidation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1"/>
  <sheetViews>
    <sheetView showGridLines="0" zoomScale="85" zoomScaleNormal="85" workbookViewId="0"/>
  </sheetViews>
  <sheetFormatPr defaultColWidth="8.85546875" defaultRowHeight="15" x14ac:dyDescent="0.25"/>
  <cols>
    <col min="1" max="1" width="14.42578125" customWidth="1"/>
    <col min="3" max="3" width="12.28515625" bestFit="1" customWidth="1"/>
    <col min="4" max="15" width="17.28515625" bestFit="1" customWidth="1"/>
  </cols>
  <sheetData>
    <row r="1" spans="1:9" ht="15.75" x14ac:dyDescent="0.25">
      <c r="A1" s="16" t="s">
        <v>22</v>
      </c>
    </row>
    <row r="2" spans="1:9" ht="15.75" x14ac:dyDescent="0.25">
      <c r="A2" s="16"/>
    </row>
    <row r="3" spans="1:9" x14ac:dyDescent="0.25">
      <c r="A3" s="7" t="s">
        <v>12</v>
      </c>
    </row>
    <row r="4" spans="1:9" x14ac:dyDescent="0.25">
      <c r="C4" s="20" t="s">
        <v>1</v>
      </c>
      <c r="D4" s="21">
        <v>0.25</v>
      </c>
      <c r="E4" s="21">
        <v>0.5</v>
      </c>
      <c r="F4" s="21">
        <v>1</v>
      </c>
      <c r="G4" s="21">
        <v>2</v>
      </c>
      <c r="H4" s="21">
        <v>3</v>
      </c>
      <c r="I4" s="22">
        <v>5</v>
      </c>
    </row>
    <row r="5" spans="1:9" x14ac:dyDescent="0.25">
      <c r="A5" s="20" t="s">
        <v>23</v>
      </c>
      <c r="B5" s="22" t="s">
        <v>2</v>
      </c>
      <c r="D5" s="36">
        <v>1000</v>
      </c>
      <c r="E5" s="36">
        <v>1000</v>
      </c>
      <c r="F5" s="36">
        <v>1000</v>
      </c>
      <c r="G5" s="36">
        <v>1000</v>
      </c>
      <c r="H5" s="36">
        <v>1000</v>
      </c>
      <c r="I5" s="36">
        <v>1000</v>
      </c>
    </row>
    <row r="6" spans="1:9" x14ac:dyDescent="0.25">
      <c r="A6" s="20" t="s">
        <v>24</v>
      </c>
      <c r="B6" s="22" t="s">
        <v>3</v>
      </c>
      <c r="D6" s="35">
        <v>1000</v>
      </c>
      <c r="E6" s="35">
        <v>1000</v>
      </c>
      <c r="F6" s="35">
        <v>1000</v>
      </c>
      <c r="G6" s="35">
        <v>1000</v>
      </c>
      <c r="H6" s="35">
        <v>1000</v>
      </c>
      <c r="I6" s="35">
        <v>1000</v>
      </c>
    </row>
    <row r="8" spans="1:9" x14ac:dyDescent="0.25">
      <c r="A8" s="7" t="s">
        <v>14</v>
      </c>
    </row>
    <row r="9" spans="1:9" x14ac:dyDescent="0.25">
      <c r="A9" s="23" t="s">
        <v>13</v>
      </c>
      <c r="C9" s="20" t="s">
        <v>1</v>
      </c>
      <c r="D9" s="21">
        <v>0.25</v>
      </c>
      <c r="E9" s="21">
        <v>0.5</v>
      </c>
      <c r="F9" s="21">
        <v>1</v>
      </c>
      <c r="G9" s="21">
        <v>2</v>
      </c>
      <c r="H9" s="21">
        <v>3</v>
      </c>
      <c r="I9" s="22">
        <v>5</v>
      </c>
    </row>
    <row r="10" spans="1:9" x14ac:dyDescent="0.25">
      <c r="A10">
        <f>+IF(A9="SI",SQRT(2),1)</f>
        <v>1.4142135623730951</v>
      </c>
      <c r="C10" s="33" t="s">
        <v>29</v>
      </c>
      <c r="D10" s="33">
        <v>170</v>
      </c>
      <c r="E10" s="33">
        <v>170</v>
      </c>
      <c r="F10" s="33">
        <v>160</v>
      </c>
      <c r="G10" s="33">
        <v>130</v>
      </c>
      <c r="H10" s="33">
        <v>120</v>
      </c>
      <c r="I10" s="33">
        <v>110</v>
      </c>
    </row>
    <row r="11" spans="1:9" x14ac:dyDescent="0.25">
      <c r="C11" s="34" t="s">
        <v>30</v>
      </c>
      <c r="D11" s="34">
        <f>+D10/$A$10</f>
        <v>120.20815280171307</v>
      </c>
      <c r="E11" s="34">
        <f t="shared" ref="E11:I11" si="0">+E10/$A$10</f>
        <v>120.20815280171307</v>
      </c>
      <c r="F11" s="34">
        <f t="shared" si="0"/>
        <v>113.13708498984759</v>
      </c>
      <c r="G11" s="34">
        <f t="shared" si="0"/>
        <v>91.923881554251167</v>
      </c>
      <c r="H11" s="34">
        <f t="shared" si="0"/>
        <v>84.852813742385692</v>
      </c>
      <c r="I11" s="34">
        <f t="shared" si="0"/>
        <v>77.781745930520216</v>
      </c>
    </row>
    <row r="13" spans="1:9" x14ac:dyDescent="0.25">
      <c r="A13" s="7" t="s">
        <v>15</v>
      </c>
      <c r="C13" s="22" t="s">
        <v>2</v>
      </c>
      <c r="D13" s="75">
        <f t="shared" ref="D13:I13" si="1">+D11*D5</f>
        <v>120208.15280171306</v>
      </c>
      <c r="E13" s="76">
        <f t="shared" si="1"/>
        <v>120208.15280171306</v>
      </c>
      <c r="F13" s="76">
        <f t="shared" si="1"/>
        <v>113137.0849898476</v>
      </c>
      <c r="G13" s="76">
        <f t="shared" si="1"/>
        <v>91923.881554251173</v>
      </c>
      <c r="H13" s="76">
        <f t="shared" si="1"/>
        <v>84852.813742385697</v>
      </c>
      <c r="I13" s="76">
        <f t="shared" si="1"/>
        <v>77781.745930520221</v>
      </c>
    </row>
    <row r="14" spans="1:9" x14ac:dyDescent="0.25">
      <c r="A14" s="7"/>
      <c r="C14" s="23" t="s">
        <v>3</v>
      </c>
      <c r="D14" s="77">
        <f>+D11*D6</f>
        <v>120208.15280171306</v>
      </c>
      <c r="E14" s="77">
        <f t="shared" ref="E14:I14" si="2">+E11*E6</f>
        <v>120208.15280171306</v>
      </c>
      <c r="F14" s="77">
        <f t="shared" si="2"/>
        <v>113137.0849898476</v>
      </c>
      <c r="G14" s="77">
        <f t="shared" si="2"/>
        <v>91923.881554251173</v>
      </c>
      <c r="H14" s="77">
        <f t="shared" si="2"/>
        <v>84852.813742385697</v>
      </c>
      <c r="I14" s="77">
        <f t="shared" si="2"/>
        <v>77781.745930520221</v>
      </c>
    </row>
    <row r="15" spans="1:9" x14ac:dyDescent="0.25">
      <c r="A15" s="7"/>
    </row>
    <row r="17" spans="1:15" x14ac:dyDescent="0.25">
      <c r="A17" s="7" t="s">
        <v>16</v>
      </c>
      <c r="D17" s="47" t="s">
        <v>25</v>
      </c>
      <c r="E17" s="48" t="s">
        <v>25</v>
      </c>
      <c r="F17" s="48" t="s">
        <v>25</v>
      </c>
      <c r="G17" s="48" t="s">
        <v>25</v>
      </c>
      <c r="H17" s="48" t="s">
        <v>25</v>
      </c>
      <c r="I17" s="49" t="s">
        <v>25</v>
      </c>
      <c r="J17" s="48" t="s">
        <v>26</v>
      </c>
      <c r="K17" s="48" t="s">
        <v>26</v>
      </c>
      <c r="L17" s="48" t="s">
        <v>26</v>
      </c>
      <c r="M17" s="48" t="s">
        <v>26</v>
      </c>
      <c r="N17" s="48" t="s">
        <v>26</v>
      </c>
      <c r="O17" s="49" t="s">
        <v>26</v>
      </c>
    </row>
    <row r="18" spans="1:15" x14ac:dyDescent="0.25">
      <c r="C18" s="20" t="s">
        <v>0</v>
      </c>
      <c r="D18" s="21" t="str">
        <f t="array" ref="D18:I18">+TRANSPOSE(B20:B25)</f>
        <v>1M</v>
      </c>
      <c r="E18" s="21" t="str">
        <v>1M</v>
      </c>
      <c r="F18" s="21" t="str">
        <v>1M</v>
      </c>
      <c r="G18" s="21" t="str">
        <v>1M</v>
      </c>
      <c r="H18" s="21" t="str">
        <v>1M</v>
      </c>
      <c r="I18" s="22" t="str">
        <v>1M</v>
      </c>
      <c r="J18" s="21" t="s">
        <v>3</v>
      </c>
      <c r="K18" s="21" t="s">
        <v>3</v>
      </c>
      <c r="L18" s="21" t="s">
        <v>3</v>
      </c>
      <c r="M18" s="21" t="s">
        <v>3</v>
      </c>
      <c r="N18" s="21" t="s">
        <v>3</v>
      </c>
      <c r="O18" s="22" t="s">
        <v>3</v>
      </c>
    </row>
    <row r="19" spans="1:15" x14ac:dyDescent="0.25">
      <c r="B19" s="17" t="s">
        <v>0</v>
      </c>
      <c r="C19" s="66" t="s">
        <v>1</v>
      </c>
      <c r="D19" s="67">
        <f t="array" ref="D19:I19">+TRANSPOSE(C20:C25)</f>
        <v>0.25</v>
      </c>
      <c r="E19" s="67">
        <v>0.5</v>
      </c>
      <c r="F19" s="67">
        <v>1</v>
      </c>
      <c r="G19" s="67">
        <v>2</v>
      </c>
      <c r="H19" s="67">
        <v>3</v>
      </c>
      <c r="I19" s="68">
        <v>5</v>
      </c>
      <c r="J19" s="67">
        <v>0.25</v>
      </c>
      <c r="K19" s="67">
        <v>0.5</v>
      </c>
      <c r="L19" s="67">
        <v>1</v>
      </c>
      <c r="M19" s="67">
        <v>2</v>
      </c>
      <c r="N19" s="67">
        <v>3</v>
      </c>
      <c r="O19" s="68">
        <v>5</v>
      </c>
    </row>
    <row r="20" spans="1:15" x14ac:dyDescent="0.25">
      <c r="A20" s="50" t="s">
        <v>25</v>
      </c>
      <c r="B20" s="18" t="s">
        <v>2</v>
      </c>
      <c r="C20" s="69">
        <v>0.25</v>
      </c>
      <c r="D20" s="24">
        <f>+correlaciones!Z14</f>
        <v>1</v>
      </c>
      <c r="E20" s="25">
        <f>+correlaciones!AA14</f>
        <v>0.97044553354850815</v>
      </c>
      <c r="F20" s="25">
        <f>+correlaciones!AB14</f>
        <v>0.91393118527122819</v>
      </c>
      <c r="G20" s="25">
        <f>+correlaciones!AC14</f>
        <v>0.81058424597018708</v>
      </c>
      <c r="H20" s="25">
        <f>+correlaciones!AD14</f>
        <v>0.71892373343192617</v>
      </c>
      <c r="I20" s="26">
        <f>+correlaciones!AE14</f>
        <v>0.56552543869953709</v>
      </c>
      <c r="J20" s="25">
        <f>0.5*$B$51</f>
        <v>0.5</v>
      </c>
      <c r="K20" s="25">
        <f t="shared" ref="K20:O25" si="3">0.5*$B$51</f>
        <v>0.5</v>
      </c>
      <c r="L20" s="25">
        <f t="shared" si="3"/>
        <v>0.5</v>
      </c>
      <c r="M20" s="25">
        <f t="shared" si="3"/>
        <v>0.5</v>
      </c>
      <c r="N20" s="25">
        <f t="shared" si="3"/>
        <v>0.5</v>
      </c>
      <c r="O20" s="26">
        <f t="shared" si="3"/>
        <v>0.5</v>
      </c>
    </row>
    <row r="21" spans="1:15" x14ac:dyDescent="0.25">
      <c r="A21" s="51" t="s">
        <v>25</v>
      </c>
      <c r="B21" s="18" t="s">
        <v>2</v>
      </c>
      <c r="C21" s="70">
        <v>0.5</v>
      </c>
      <c r="D21" s="27">
        <f>+correlaciones!Z15</f>
        <v>0.97044553354850815</v>
      </c>
      <c r="E21" s="28">
        <f>+correlaciones!AA15</f>
        <v>1</v>
      </c>
      <c r="F21" s="28">
        <f>+correlaciones!AB15</f>
        <v>0.97044553354850815</v>
      </c>
      <c r="G21" s="28">
        <f>+correlaciones!AC15</f>
        <v>0.91393118527122819</v>
      </c>
      <c r="H21" s="28">
        <f>+correlaciones!AD15</f>
        <v>0.86070797642505781</v>
      </c>
      <c r="I21" s="29">
        <f>+correlaciones!AE15</f>
        <v>0.76337949433685315</v>
      </c>
      <c r="J21" s="28">
        <f t="shared" ref="J21:J25" si="4">0.5*$B$51</f>
        <v>0.5</v>
      </c>
      <c r="K21" s="28">
        <f t="shared" si="3"/>
        <v>0.5</v>
      </c>
      <c r="L21" s="28">
        <f t="shared" si="3"/>
        <v>0.5</v>
      </c>
      <c r="M21" s="28">
        <f t="shared" si="3"/>
        <v>0.5</v>
      </c>
      <c r="N21" s="28">
        <f t="shared" si="3"/>
        <v>0.5</v>
      </c>
      <c r="O21" s="29">
        <f t="shared" si="3"/>
        <v>0.5</v>
      </c>
    </row>
    <row r="22" spans="1:15" x14ac:dyDescent="0.25">
      <c r="A22" s="51" t="s">
        <v>25</v>
      </c>
      <c r="B22" s="18" t="s">
        <v>2</v>
      </c>
      <c r="C22" s="70">
        <v>1</v>
      </c>
      <c r="D22" s="27">
        <f>+correlaciones!Z16</f>
        <v>0.91393118527122819</v>
      </c>
      <c r="E22" s="28">
        <f>+correlaciones!AA16</f>
        <v>0.97044553354850815</v>
      </c>
      <c r="F22" s="28">
        <f>+correlaciones!AB16</f>
        <v>1</v>
      </c>
      <c r="G22" s="28">
        <f>+correlaciones!AC16</f>
        <v>0.97044553354850815</v>
      </c>
      <c r="H22" s="28">
        <f>+correlaciones!AD16</f>
        <v>0.94176453358424872</v>
      </c>
      <c r="I22" s="29">
        <f>+correlaciones!AE16</f>
        <v>0.88692043671715748</v>
      </c>
      <c r="J22" s="28">
        <f t="shared" si="4"/>
        <v>0.5</v>
      </c>
      <c r="K22" s="28">
        <f t="shared" si="3"/>
        <v>0.5</v>
      </c>
      <c r="L22" s="28">
        <f t="shared" si="3"/>
        <v>0.5</v>
      </c>
      <c r="M22" s="28">
        <f t="shared" si="3"/>
        <v>0.5</v>
      </c>
      <c r="N22" s="28">
        <f t="shared" si="3"/>
        <v>0.5</v>
      </c>
      <c r="O22" s="29">
        <f t="shared" si="3"/>
        <v>0.5</v>
      </c>
    </row>
    <row r="23" spans="1:15" x14ac:dyDescent="0.25">
      <c r="A23" s="51" t="s">
        <v>25</v>
      </c>
      <c r="B23" s="18" t="s">
        <v>2</v>
      </c>
      <c r="C23" s="70">
        <v>2</v>
      </c>
      <c r="D23" s="27">
        <f>+correlaciones!Z17</f>
        <v>0.81058424597018708</v>
      </c>
      <c r="E23" s="28">
        <f>+correlaciones!AA17</f>
        <v>0.91393118527122819</v>
      </c>
      <c r="F23" s="28">
        <f>+correlaciones!AB17</f>
        <v>0.97044553354850815</v>
      </c>
      <c r="G23" s="28">
        <f>+correlaciones!AC17</f>
        <v>1</v>
      </c>
      <c r="H23" s="28">
        <f>+correlaciones!AD17</f>
        <v>0.98511193960306265</v>
      </c>
      <c r="I23" s="29">
        <f>+correlaciones!AE17</f>
        <v>0.95599748183309996</v>
      </c>
      <c r="J23" s="28">
        <f t="shared" si="4"/>
        <v>0.5</v>
      </c>
      <c r="K23" s="28">
        <f t="shared" si="3"/>
        <v>0.5</v>
      </c>
      <c r="L23" s="28">
        <f t="shared" si="3"/>
        <v>0.5</v>
      </c>
      <c r="M23" s="28">
        <f t="shared" si="3"/>
        <v>0.5</v>
      </c>
      <c r="N23" s="28">
        <f t="shared" si="3"/>
        <v>0.5</v>
      </c>
      <c r="O23" s="29">
        <f t="shared" si="3"/>
        <v>0.5</v>
      </c>
    </row>
    <row r="24" spans="1:15" x14ac:dyDescent="0.25">
      <c r="A24" s="51" t="s">
        <v>25</v>
      </c>
      <c r="B24" s="18" t="s">
        <v>2</v>
      </c>
      <c r="C24" s="70">
        <v>3</v>
      </c>
      <c r="D24" s="27">
        <f>+correlaciones!Z18</f>
        <v>0.71892373343192617</v>
      </c>
      <c r="E24" s="28">
        <f>+correlaciones!AA18</f>
        <v>0.86070797642505781</v>
      </c>
      <c r="F24" s="28">
        <f>+correlaciones!AB18</f>
        <v>0.94176453358424872</v>
      </c>
      <c r="G24" s="28">
        <f>+correlaciones!AC18</f>
        <v>0.98511193960306265</v>
      </c>
      <c r="H24" s="28">
        <f>+correlaciones!AD18</f>
        <v>1</v>
      </c>
      <c r="I24" s="29">
        <f>+correlaciones!AE18</f>
        <v>0.98019867330675525</v>
      </c>
      <c r="J24" s="28">
        <f t="shared" si="4"/>
        <v>0.5</v>
      </c>
      <c r="K24" s="28">
        <f t="shared" si="3"/>
        <v>0.5</v>
      </c>
      <c r="L24" s="28">
        <f t="shared" si="3"/>
        <v>0.5</v>
      </c>
      <c r="M24" s="28">
        <f t="shared" si="3"/>
        <v>0.5</v>
      </c>
      <c r="N24" s="28">
        <f t="shared" si="3"/>
        <v>0.5</v>
      </c>
      <c r="O24" s="29">
        <f t="shared" si="3"/>
        <v>0.5</v>
      </c>
    </row>
    <row r="25" spans="1:15" x14ac:dyDescent="0.25">
      <c r="A25" s="52" t="s">
        <v>25</v>
      </c>
      <c r="B25" s="19" t="s">
        <v>2</v>
      </c>
      <c r="C25" s="66">
        <v>5</v>
      </c>
      <c r="D25" s="30">
        <f>+correlaciones!Z19</f>
        <v>0.56552543869953709</v>
      </c>
      <c r="E25" s="31">
        <f>+correlaciones!AA19</f>
        <v>0.76337949433685315</v>
      </c>
      <c r="F25" s="31">
        <f>+correlaciones!AB19</f>
        <v>0.88692043671715748</v>
      </c>
      <c r="G25" s="31">
        <f>+correlaciones!AC19</f>
        <v>0.95599748183309996</v>
      </c>
      <c r="H25" s="31">
        <f>+correlaciones!AD19</f>
        <v>0.98019867330675525</v>
      </c>
      <c r="I25" s="32">
        <f>+correlaciones!AE19</f>
        <v>1</v>
      </c>
      <c r="J25" s="31">
        <f t="shared" si="4"/>
        <v>0.5</v>
      </c>
      <c r="K25" s="31">
        <f t="shared" si="3"/>
        <v>0.5</v>
      </c>
      <c r="L25" s="31">
        <f t="shared" si="3"/>
        <v>0.5</v>
      </c>
      <c r="M25" s="31">
        <f t="shared" si="3"/>
        <v>0.5</v>
      </c>
      <c r="N25" s="31">
        <f t="shared" si="3"/>
        <v>0.5</v>
      </c>
      <c r="O25" s="32">
        <f t="shared" si="3"/>
        <v>0.5</v>
      </c>
    </row>
    <row r="26" spans="1:15" x14ac:dyDescent="0.25">
      <c r="A26" s="51" t="s">
        <v>26</v>
      </c>
      <c r="B26" s="18" t="s">
        <v>3</v>
      </c>
      <c r="C26" s="69">
        <v>0.25</v>
      </c>
      <c r="D26" s="27">
        <f>0.5*$B$51</f>
        <v>0.5</v>
      </c>
      <c r="E26" s="28">
        <f t="shared" ref="E26:I31" si="5">0.5*$B$51</f>
        <v>0.5</v>
      </c>
      <c r="F26" s="28">
        <f t="shared" si="5"/>
        <v>0.5</v>
      </c>
      <c r="G26" s="28">
        <f t="shared" si="5"/>
        <v>0.5</v>
      </c>
      <c r="H26" s="28">
        <f t="shared" si="5"/>
        <v>0.5</v>
      </c>
      <c r="I26" s="29">
        <f t="shared" si="5"/>
        <v>0.5</v>
      </c>
      <c r="J26" s="28">
        <f>+correlaciones!AJ24</f>
        <v>1</v>
      </c>
      <c r="K26" s="28">
        <f>+correlaciones!AK24</f>
        <v>0.97044553354850815</v>
      </c>
      <c r="L26" s="28">
        <f>+correlaciones!AL24</f>
        <v>0.91393118527122819</v>
      </c>
      <c r="M26" s="28">
        <f>+correlaciones!AM24</f>
        <v>0.81058424597018708</v>
      </c>
      <c r="N26" s="28">
        <f>+correlaciones!AN24</f>
        <v>0.71892373343192617</v>
      </c>
      <c r="O26" s="29">
        <f>+correlaciones!AO24</f>
        <v>0.56552543869953709</v>
      </c>
    </row>
    <row r="27" spans="1:15" x14ac:dyDescent="0.25">
      <c r="A27" s="51" t="s">
        <v>26</v>
      </c>
      <c r="B27" s="18" t="s">
        <v>3</v>
      </c>
      <c r="C27" s="70">
        <v>0.5</v>
      </c>
      <c r="D27" s="27">
        <f t="shared" ref="D27:D31" si="6">0.5*$B$51</f>
        <v>0.5</v>
      </c>
      <c r="E27" s="28">
        <f t="shared" si="5"/>
        <v>0.5</v>
      </c>
      <c r="F27" s="28">
        <f t="shared" si="5"/>
        <v>0.5</v>
      </c>
      <c r="G27" s="28">
        <f t="shared" si="5"/>
        <v>0.5</v>
      </c>
      <c r="H27" s="28">
        <f t="shared" si="5"/>
        <v>0.5</v>
      </c>
      <c r="I27" s="29">
        <f t="shared" si="5"/>
        <v>0.5</v>
      </c>
      <c r="J27" s="28">
        <f>+correlaciones!AJ25</f>
        <v>0.97044553354850815</v>
      </c>
      <c r="K27" s="28">
        <f>+correlaciones!AK25</f>
        <v>1</v>
      </c>
      <c r="L27" s="28">
        <f>+correlaciones!AL25</f>
        <v>0.97044553354850815</v>
      </c>
      <c r="M27" s="28">
        <f>+correlaciones!AM25</f>
        <v>0.91393118527122819</v>
      </c>
      <c r="N27" s="28">
        <f>+correlaciones!AN25</f>
        <v>0.86070797642505781</v>
      </c>
      <c r="O27" s="29">
        <f>+correlaciones!AO25</f>
        <v>0.76337949433685315</v>
      </c>
    </row>
    <row r="28" spans="1:15" x14ac:dyDescent="0.25">
      <c r="A28" s="51" t="s">
        <v>26</v>
      </c>
      <c r="B28" s="18" t="s">
        <v>3</v>
      </c>
      <c r="C28" s="70">
        <v>1</v>
      </c>
      <c r="D28" s="27">
        <f t="shared" si="6"/>
        <v>0.5</v>
      </c>
      <c r="E28" s="28">
        <f t="shared" si="5"/>
        <v>0.5</v>
      </c>
      <c r="F28" s="28">
        <f t="shared" si="5"/>
        <v>0.5</v>
      </c>
      <c r="G28" s="28">
        <f t="shared" si="5"/>
        <v>0.5</v>
      </c>
      <c r="H28" s="28">
        <f t="shared" si="5"/>
        <v>0.5</v>
      </c>
      <c r="I28" s="29">
        <f t="shared" si="5"/>
        <v>0.5</v>
      </c>
      <c r="J28" s="28">
        <f>+correlaciones!AJ26</f>
        <v>0.91393118527122819</v>
      </c>
      <c r="K28" s="28">
        <f>+correlaciones!AK26</f>
        <v>0.97044553354850815</v>
      </c>
      <c r="L28" s="28">
        <f>+correlaciones!AL26</f>
        <v>1</v>
      </c>
      <c r="M28" s="28">
        <f>+correlaciones!AM26</f>
        <v>0.97044553354850815</v>
      </c>
      <c r="N28" s="28">
        <f>+correlaciones!AN26</f>
        <v>0.94176453358424872</v>
      </c>
      <c r="O28" s="29">
        <f>+correlaciones!AO26</f>
        <v>0.88692043671715748</v>
      </c>
    </row>
    <row r="29" spans="1:15" x14ac:dyDescent="0.25">
      <c r="A29" s="51" t="s">
        <v>26</v>
      </c>
      <c r="B29" s="18" t="s">
        <v>3</v>
      </c>
      <c r="C29" s="70">
        <v>2</v>
      </c>
      <c r="D29" s="27">
        <f t="shared" si="6"/>
        <v>0.5</v>
      </c>
      <c r="E29" s="28">
        <f t="shared" si="5"/>
        <v>0.5</v>
      </c>
      <c r="F29" s="28">
        <f t="shared" si="5"/>
        <v>0.5</v>
      </c>
      <c r="G29" s="28">
        <f t="shared" si="5"/>
        <v>0.5</v>
      </c>
      <c r="H29" s="28">
        <f t="shared" si="5"/>
        <v>0.5</v>
      </c>
      <c r="I29" s="29">
        <f t="shared" si="5"/>
        <v>0.5</v>
      </c>
      <c r="J29" s="28">
        <f>+correlaciones!AJ27</f>
        <v>0.81058424597018708</v>
      </c>
      <c r="K29" s="28">
        <f>+correlaciones!AK27</f>
        <v>0.91393118527122819</v>
      </c>
      <c r="L29" s="28">
        <f>+correlaciones!AL27</f>
        <v>0.97044553354850815</v>
      </c>
      <c r="M29" s="28">
        <f>+correlaciones!AM27</f>
        <v>1</v>
      </c>
      <c r="N29" s="28">
        <f>+correlaciones!AN27</f>
        <v>0.98511193960306265</v>
      </c>
      <c r="O29" s="29">
        <f>+correlaciones!AO27</f>
        <v>0.95599748183309996</v>
      </c>
    </row>
    <row r="30" spans="1:15" x14ac:dyDescent="0.25">
      <c r="A30" s="51" t="s">
        <v>26</v>
      </c>
      <c r="B30" s="18" t="s">
        <v>3</v>
      </c>
      <c r="C30" s="70">
        <v>3</v>
      </c>
      <c r="D30" s="27">
        <f t="shared" si="6"/>
        <v>0.5</v>
      </c>
      <c r="E30" s="28">
        <f t="shared" si="5"/>
        <v>0.5</v>
      </c>
      <c r="F30" s="28">
        <f t="shared" si="5"/>
        <v>0.5</v>
      </c>
      <c r="G30" s="28">
        <f t="shared" si="5"/>
        <v>0.5</v>
      </c>
      <c r="H30" s="28">
        <f t="shared" si="5"/>
        <v>0.5</v>
      </c>
      <c r="I30" s="29">
        <f t="shared" si="5"/>
        <v>0.5</v>
      </c>
      <c r="J30" s="28">
        <f>+correlaciones!AJ28</f>
        <v>0.71892373343192617</v>
      </c>
      <c r="K30" s="28">
        <f>+correlaciones!AK28</f>
        <v>0.86070797642505781</v>
      </c>
      <c r="L30" s="28">
        <f>+correlaciones!AL28</f>
        <v>0.94176453358424872</v>
      </c>
      <c r="M30" s="28">
        <f>+correlaciones!AM28</f>
        <v>0.98511193960306265</v>
      </c>
      <c r="N30" s="28">
        <f>+correlaciones!AN28</f>
        <v>1</v>
      </c>
      <c r="O30" s="29">
        <f>+correlaciones!AO28</f>
        <v>0.98019867330675525</v>
      </c>
    </row>
    <row r="31" spans="1:15" x14ac:dyDescent="0.25">
      <c r="A31" s="52" t="s">
        <v>26</v>
      </c>
      <c r="B31" s="19" t="s">
        <v>3</v>
      </c>
      <c r="C31" s="66">
        <v>5</v>
      </c>
      <c r="D31" s="30">
        <f t="shared" si="6"/>
        <v>0.5</v>
      </c>
      <c r="E31" s="31">
        <f t="shared" si="5"/>
        <v>0.5</v>
      </c>
      <c r="F31" s="31">
        <f t="shared" si="5"/>
        <v>0.5</v>
      </c>
      <c r="G31" s="31">
        <f t="shared" si="5"/>
        <v>0.5</v>
      </c>
      <c r="H31" s="31">
        <f t="shared" si="5"/>
        <v>0.5</v>
      </c>
      <c r="I31" s="32">
        <f t="shared" si="5"/>
        <v>0.5</v>
      </c>
      <c r="J31" s="31">
        <f>+correlaciones!AJ29</f>
        <v>0.56552543869953709</v>
      </c>
      <c r="K31" s="31">
        <f>+correlaciones!AK29</f>
        <v>0.76337949433685315</v>
      </c>
      <c r="L31" s="31">
        <f>+correlaciones!AL29</f>
        <v>0.88692043671715748</v>
      </c>
      <c r="M31" s="31">
        <f>+correlaciones!AM29</f>
        <v>0.95599748183309996</v>
      </c>
      <c r="N31" s="31">
        <f>+correlaciones!AN29</f>
        <v>0.98019867330675525</v>
      </c>
      <c r="O31" s="32">
        <f>+correlaciones!AO29</f>
        <v>1</v>
      </c>
    </row>
    <row r="33" spans="1:15" x14ac:dyDescent="0.25">
      <c r="A33" s="7" t="s">
        <v>21</v>
      </c>
      <c r="B33" s="1"/>
      <c r="D33" s="40">
        <f>+D13</f>
        <v>120208.15280171306</v>
      </c>
      <c r="E33" s="41">
        <f t="shared" ref="E33:I33" si="7">+E13</f>
        <v>120208.15280171306</v>
      </c>
      <c r="F33" s="41">
        <f t="shared" si="7"/>
        <v>113137.0849898476</v>
      </c>
      <c r="G33" s="41">
        <f t="shared" si="7"/>
        <v>91923.881554251173</v>
      </c>
      <c r="H33" s="41">
        <f t="shared" si="7"/>
        <v>84852.813742385697</v>
      </c>
      <c r="I33" s="42">
        <f t="shared" si="7"/>
        <v>77781.745930520221</v>
      </c>
      <c r="J33" s="41">
        <f>+D14</f>
        <v>120208.15280171306</v>
      </c>
      <c r="K33" s="41">
        <f t="shared" ref="K33:O33" si="8">+E14</f>
        <v>120208.15280171306</v>
      </c>
      <c r="L33" s="41">
        <f t="shared" si="8"/>
        <v>113137.0849898476</v>
      </c>
      <c r="M33" s="41">
        <f t="shared" si="8"/>
        <v>91923.881554251173</v>
      </c>
      <c r="N33" s="41">
        <f t="shared" si="8"/>
        <v>84852.813742385697</v>
      </c>
      <c r="O33" s="42">
        <f t="shared" si="8"/>
        <v>77781.745930520221</v>
      </c>
    </row>
    <row r="34" spans="1:15" x14ac:dyDescent="0.25">
      <c r="A34" s="1"/>
      <c r="C34" s="20" t="s">
        <v>0</v>
      </c>
      <c r="D34" s="21" t="str">
        <f t="array" ref="D34:I34">+TRANSPOSE(B36:B41)</f>
        <v>1M</v>
      </c>
      <c r="E34" s="21" t="str">
        <v>1M</v>
      </c>
      <c r="F34" s="21" t="str">
        <v>1M</v>
      </c>
      <c r="G34" s="21" t="str">
        <v>1M</v>
      </c>
      <c r="H34" s="21" t="str">
        <v>1M</v>
      </c>
      <c r="I34" s="22" t="str">
        <v>1M</v>
      </c>
      <c r="J34" s="21" t="s">
        <v>3</v>
      </c>
      <c r="K34" s="21" t="s">
        <v>3</v>
      </c>
      <c r="L34" s="21" t="s">
        <v>3</v>
      </c>
      <c r="M34" s="21" t="s">
        <v>3</v>
      </c>
      <c r="N34" s="21" t="s">
        <v>3</v>
      </c>
      <c r="O34" s="22" t="s">
        <v>3</v>
      </c>
    </row>
    <row r="35" spans="1:15" x14ac:dyDescent="0.25">
      <c r="B35" s="17" t="s">
        <v>0</v>
      </c>
      <c r="C35" s="66" t="s">
        <v>1</v>
      </c>
      <c r="D35" s="67">
        <f t="array" ref="D35:I35">+TRANSPOSE(C36:C41)</f>
        <v>0.25</v>
      </c>
      <c r="E35" s="67">
        <v>0.5</v>
      </c>
      <c r="F35" s="67">
        <v>1</v>
      </c>
      <c r="G35" s="67">
        <v>2</v>
      </c>
      <c r="H35" s="67">
        <v>3</v>
      </c>
      <c r="I35" s="68">
        <v>5</v>
      </c>
      <c r="J35" s="67">
        <v>0.25</v>
      </c>
      <c r="K35" s="67">
        <v>0.5</v>
      </c>
      <c r="L35" s="67">
        <v>1</v>
      </c>
      <c r="M35" s="67">
        <v>2</v>
      </c>
      <c r="N35" s="67">
        <v>3</v>
      </c>
      <c r="O35" s="68">
        <v>5</v>
      </c>
    </row>
    <row r="36" spans="1:15" x14ac:dyDescent="0.25">
      <c r="A36" s="43">
        <f t="array" ref="A36:A47">+TRANSPOSE(D33:O33)</f>
        <v>120208.15280171306</v>
      </c>
      <c r="B36" s="18" t="s">
        <v>2</v>
      </c>
      <c r="C36" s="69">
        <v>0.25</v>
      </c>
      <c r="D36" s="78">
        <f>+$A36*D$33</f>
        <v>14449999999.999996</v>
      </c>
      <c r="E36" s="79">
        <f t="shared" ref="E36:O47" si="9">+$A36*E$33</f>
        <v>14449999999.999996</v>
      </c>
      <c r="F36" s="79">
        <f t="shared" si="9"/>
        <v>13599999999.999998</v>
      </c>
      <c r="G36" s="79">
        <f t="shared" si="9"/>
        <v>11049999999.999998</v>
      </c>
      <c r="H36" s="79">
        <f t="shared" si="9"/>
        <v>10199999999.999998</v>
      </c>
      <c r="I36" s="80">
        <f t="shared" si="9"/>
        <v>9349999999.9999981</v>
      </c>
      <c r="J36" s="79">
        <f t="shared" si="9"/>
        <v>14449999999.999996</v>
      </c>
      <c r="K36" s="79">
        <f t="shared" si="9"/>
        <v>14449999999.999996</v>
      </c>
      <c r="L36" s="79">
        <f t="shared" si="9"/>
        <v>13599999999.999998</v>
      </c>
      <c r="M36" s="79">
        <f t="shared" si="9"/>
        <v>11049999999.999998</v>
      </c>
      <c r="N36" s="79">
        <f t="shared" si="9"/>
        <v>10199999999.999998</v>
      </c>
      <c r="O36" s="80">
        <f t="shared" si="9"/>
        <v>9349999999.9999981</v>
      </c>
    </row>
    <row r="37" spans="1:15" x14ac:dyDescent="0.25">
      <c r="A37" s="44">
        <v>120208.15280171306</v>
      </c>
      <c r="B37" s="18" t="s">
        <v>2</v>
      </c>
      <c r="C37" s="70">
        <v>0.5</v>
      </c>
      <c r="D37" s="81">
        <f t="shared" ref="D37:D47" si="10">+$A37*D$33</f>
        <v>14449999999.999996</v>
      </c>
      <c r="E37" s="82">
        <f t="shared" si="9"/>
        <v>14449999999.999996</v>
      </c>
      <c r="F37" s="82">
        <f t="shared" si="9"/>
        <v>13599999999.999998</v>
      </c>
      <c r="G37" s="82">
        <f t="shared" si="9"/>
        <v>11049999999.999998</v>
      </c>
      <c r="H37" s="82">
        <f t="shared" si="9"/>
        <v>10199999999.999998</v>
      </c>
      <c r="I37" s="83">
        <f t="shared" si="9"/>
        <v>9349999999.9999981</v>
      </c>
      <c r="J37" s="82">
        <f t="shared" si="9"/>
        <v>14449999999.999996</v>
      </c>
      <c r="K37" s="82">
        <f t="shared" si="9"/>
        <v>14449999999.999996</v>
      </c>
      <c r="L37" s="82">
        <f t="shared" si="9"/>
        <v>13599999999.999998</v>
      </c>
      <c r="M37" s="82">
        <f t="shared" si="9"/>
        <v>11049999999.999998</v>
      </c>
      <c r="N37" s="82">
        <f t="shared" si="9"/>
        <v>10199999999.999998</v>
      </c>
      <c r="O37" s="83">
        <f t="shared" si="9"/>
        <v>9349999999.9999981</v>
      </c>
    </row>
    <row r="38" spans="1:15" x14ac:dyDescent="0.25">
      <c r="A38" s="44">
        <v>113137.0849898476</v>
      </c>
      <c r="B38" s="18" t="s">
        <v>2</v>
      </c>
      <c r="C38" s="70">
        <v>1</v>
      </c>
      <c r="D38" s="81">
        <f t="shared" si="10"/>
        <v>13599999999.999998</v>
      </c>
      <c r="E38" s="82">
        <f t="shared" si="9"/>
        <v>13599999999.999998</v>
      </c>
      <c r="F38" s="82">
        <f t="shared" si="9"/>
        <v>12800000000</v>
      </c>
      <c r="G38" s="82">
        <f t="shared" si="9"/>
        <v>10400000000</v>
      </c>
      <c r="H38" s="82">
        <f t="shared" si="9"/>
        <v>9600000000</v>
      </c>
      <c r="I38" s="83">
        <f t="shared" si="9"/>
        <v>8799999999.9999981</v>
      </c>
      <c r="J38" s="82">
        <f t="shared" si="9"/>
        <v>13599999999.999998</v>
      </c>
      <c r="K38" s="82">
        <f t="shared" si="9"/>
        <v>13599999999.999998</v>
      </c>
      <c r="L38" s="82">
        <f t="shared" si="9"/>
        <v>12800000000</v>
      </c>
      <c r="M38" s="82">
        <f t="shared" si="9"/>
        <v>10400000000</v>
      </c>
      <c r="N38" s="82">
        <f t="shared" si="9"/>
        <v>9600000000</v>
      </c>
      <c r="O38" s="83">
        <f t="shared" si="9"/>
        <v>8799999999.9999981</v>
      </c>
    </row>
    <row r="39" spans="1:15" x14ac:dyDescent="0.25">
      <c r="A39" s="44">
        <v>91923.881554251173</v>
      </c>
      <c r="B39" s="18" t="s">
        <v>2</v>
      </c>
      <c r="C39" s="70">
        <v>2</v>
      </c>
      <c r="D39" s="81">
        <f t="shared" si="10"/>
        <v>11049999999.999998</v>
      </c>
      <c r="E39" s="82">
        <f t="shared" si="9"/>
        <v>11049999999.999998</v>
      </c>
      <c r="F39" s="82">
        <f t="shared" si="9"/>
        <v>10400000000</v>
      </c>
      <c r="G39" s="82">
        <f t="shared" si="9"/>
        <v>8449999999.999999</v>
      </c>
      <c r="H39" s="82">
        <f t="shared" si="9"/>
        <v>7799999999.999999</v>
      </c>
      <c r="I39" s="83">
        <f t="shared" si="9"/>
        <v>7149999999.999999</v>
      </c>
      <c r="J39" s="82">
        <f t="shared" si="9"/>
        <v>11049999999.999998</v>
      </c>
      <c r="K39" s="82">
        <f t="shared" si="9"/>
        <v>11049999999.999998</v>
      </c>
      <c r="L39" s="82">
        <f t="shared" si="9"/>
        <v>10400000000</v>
      </c>
      <c r="M39" s="82">
        <f t="shared" si="9"/>
        <v>8449999999.999999</v>
      </c>
      <c r="N39" s="82">
        <f t="shared" si="9"/>
        <v>7799999999.999999</v>
      </c>
      <c r="O39" s="83">
        <f t="shared" si="9"/>
        <v>7149999999.999999</v>
      </c>
    </row>
    <row r="40" spans="1:15" x14ac:dyDescent="0.25">
      <c r="A40" s="44">
        <v>84852.813742385697</v>
      </c>
      <c r="B40" s="18" t="s">
        <v>2</v>
      </c>
      <c r="C40" s="70">
        <v>3</v>
      </c>
      <c r="D40" s="81">
        <f t="shared" si="10"/>
        <v>10199999999.999998</v>
      </c>
      <c r="E40" s="82">
        <f t="shared" si="9"/>
        <v>10199999999.999998</v>
      </c>
      <c r="F40" s="82">
        <f t="shared" si="9"/>
        <v>9600000000</v>
      </c>
      <c r="G40" s="82">
        <f t="shared" si="9"/>
        <v>7799999999.999999</v>
      </c>
      <c r="H40" s="82">
        <f t="shared" si="9"/>
        <v>7199999999.999999</v>
      </c>
      <c r="I40" s="83">
        <f t="shared" si="9"/>
        <v>6599999999.999999</v>
      </c>
      <c r="J40" s="82">
        <f t="shared" si="9"/>
        <v>10199999999.999998</v>
      </c>
      <c r="K40" s="82">
        <f t="shared" si="9"/>
        <v>10199999999.999998</v>
      </c>
      <c r="L40" s="82">
        <f t="shared" si="9"/>
        <v>9600000000</v>
      </c>
      <c r="M40" s="82">
        <f t="shared" si="9"/>
        <v>7799999999.999999</v>
      </c>
      <c r="N40" s="82">
        <f t="shared" si="9"/>
        <v>7199999999.999999</v>
      </c>
      <c r="O40" s="83">
        <f t="shared" si="9"/>
        <v>6599999999.999999</v>
      </c>
    </row>
    <row r="41" spans="1:15" x14ac:dyDescent="0.25">
      <c r="A41" s="45">
        <v>77781.745930520221</v>
      </c>
      <c r="B41" s="19" t="s">
        <v>2</v>
      </c>
      <c r="C41" s="66">
        <v>5</v>
      </c>
      <c r="D41" s="84">
        <f t="shared" si="10"/>
        <v>9349999999.9999981</v>
      </c>
      <c r="E41" s="85">
        <f t="shared" si="9"/>
        <v>9349999999.9999981</v>
      </c>
      <c r="F41" s="85">
        <f t="shared" si="9"/>
        <v>8799999999.9999981</v>
      </c>
      <c r="G41" s="85">
        <f t="shared" si="9"/>
        <v>7149999999.999999</v>
      </c>
      <c r="H41" s="85">
        <f t="shared" si="9"/>
        <v>6599999999.999999</v>
      </c>
      <c r="I41" s="86">
        <f t="shared" si="9"/>
        <v>6049999999.999999</v>
      </c>
      <c r="J41" s="85">
        <f t="shared" si="9"/>
        <v>9349999999.9999981</v>
      </c>
      <c r="K41" s="85">
        <f t="shared" si="9"/>
        <v>9349999999.9999981</v>
      </c>
      <c r="L41" s="85">
        <f t="shared" si="9"/>
        <v>8799999999.9999981</v>
      </c>
      <c r="M41" s="85">
        <f t="shared" si="9"/>
        <v>7149999999.999999</v>
      </c>
      <c r="N41" s="85">
        <f t="shared" si="9"/>
        <v>6599999999.999999</v>
      </c>
      <c r="O41" s="86">
        <f t="shared" si="9"/>
        <v>6049999999.999999</v>
      </c>
    </row>
    <row r="42" spans="1:15" x14ac:dyDescent="0.25">
      <c r="A42" s="44">
        <v>120208.15280171306</v>
      </c>
      <c r="B42" s="18" t="s">
        <v>3</v>
      </c>
      <c r="C42" s="69">
        <v>0.25</v>
      </c>
      <c r="D42" s="81">
        <f t="shared" si="10"/>
        <v>14449999999.999996</v>
      </c>
      <c r="E42" s="82">
        <f t="shared" si="9"/>
        <v>14449999999.999996</v>
      </c>
      <c r="F42" s="82">
        <f t="shared" si="9"/>
        <v>13599999999.999998</v>
      </c>
      <c r="G42" s="82">
        <f t="shared" si="9"/>
        <v>11049999999.999998</v>
      </c>
      <c r="H42" s="82">
        <f t="shared" si="9"/>
        <v>10199999999.999998</v>
      </c>
      <c r="I42" s="83">
        <f t="shared" si="9"/>
        <v>9349999999.9999981</v>
      </c>
      <c r="J42" s="82">
        <f t="shared" si="9"/>
        <v>14449999999.999996</v>
      </c>
      <c r="K42" s="82">
        <f t="shared" si="9"/>
        <v>14449999999.999996</v>
      </c>
      <c r="L42" s="82">
        <f t="shared" si="9"/>
        <v>13599999999.999998</v>
      </c>
      <c r="M42" s="82">
        <f t="shared" si="9"/>
        <v>11049999999.999998</v>
      </c>
      <c r="N42" s="82">
        <f t="shared" si="9"/>
        <v>10199999999.999998</v>
      </c>
      <c r="O42" s="83">
        <f t="shared" si="9"/>
        <v>9349999999.9999981</v>
      </c>
    </row>
    <row r="43" spans="1:15" x14ac:dyDescent="0.25">
      <c r="A43" s="44">
        <v>120208.15280171306</v>
      </c>
      <c r="B43" s="18" t="s">
        <v>3</v>
      </c>
      <c r="C43" s="70">
        <v>0.5</v>
      </c>
      <c r="D43" s="81">
        <f t="shared" si="10"/>
        <v>14449999999.999996</v>
      </c>
      <c r="E43" s="82">
        <f t="shared" si="9"/>
        <v>14449999999.999996</v>
      </c>
      <c r="F43" s="82">
        <f t="shared" si="9"/>
        <v>13599999999.999998</v>
      </c>
      <c r="G43" s="82">
        <f t="shared" si="9"/>
        <v>11049999999.999998</v>
      </c>
      <c r="H43" s="82">
        <f t="shared" si="9"/>
        <v>10199999999.999998</v>
      </c>
      <c r="I43" s="83">
        <f t="shared" si="9"/>
        <v>9349999999.9999981</v>
      </c>
      <c r="J43" s="82">
        <f t="shared" si="9"/>
        <v>14449999999.999996</v>
      </c>
      <c r="K43" s="82">
        <f t="shared" si="9"/>
        <v>14449999999.999996</v>
      </c>
      <c r="L43" s="82">
        <f t="shared" si="9"/>
        <v>13599999999.999998</v>
      </c>
      <c r="M43" s="82">
        <f t="shared" si="9"/>
        <v>11049999999.999998</v>
      </c>
      <c r="N43" s="82">
        <f t="shared" si="9"/>
        <v>10199999999.999998</v>
      </c>
      <c r="O43" s="83">
        <f t="shared" si="9"/>
        <v>9349999999.9999981</v>
      </c>
    </row>
    <row r="44" spans="1:15" x14ac:dyDescent="0.25">
      <c r="A44" s="44">
        <v>113137.0849898476</v>
      </c>
      <c r="B44" s="18" t="s">
        <v>3</v>
      </c>
      <c r="C44" s="70">
        <v>1</v>
      </c>
      <c r="D44" s="81">
        <f t="shared" si="10"/>
        <v>13599999999.999998</v>
      </c>
      <c r="E44" s="82">
        <f t="shared" si="9"/>
        <v>13599999999.999998</v>
      </c>
      <c r="F44" s="82">
        <f t="shared" si="9"/>
        <v>12800000000</v>
      </c>
      <c r="G44" s="82">
        <f t="shared" si="9"/>
        <v>10400000000</v>
      </c>
      <c r="H44" s="82">
        <f t="shared" si="9"/>
        <v>9600000000</v>
      </c>
      <c r="I44" s="83">
        <f t="shared" si="9"/>
        <v>8799999999.9999981</v>
      </c>
      <c r="J44" s="82">
        <f t="shared" si="9"/>
        <v>13599999999.999998</v>
      </c>
      <c r="K44" s="82">
        <f t="shared" si="9"/>
        <v>13599999999.999998</v>
      </c>
      <c r="L44" s="82">
        <f t="shared" si="9"/>
        <v>12800000000</v>
      </c>
      <c r="M44" s="82">
        <f t="shared" si="9"/>
        <v>10400000000</v>
      </c>
      <c r="N44" s="82">
        <f t="shared" si="9"/>
        <v>9600000000</v>
      </c>
      <c r="O44" s="83">
        <f t="shared" si="9"/>
        <v>8799999999.9999981</v>
      </c>
    </row>
    <row r="45" spans="1:15" x14ac:dyDescent="0.25">
      <c r="A45" s="44">
        <v>91923.881554251173</v>
      </c>
      <c r="B45" s="18" t="s">
        <v>3</v>
      </c>
      <c r="C45" s="70">
        <v>2</v>
      </c>
      <c r="D45" s="81">
        <f t="shared" si="10"/>
        <v>11049999999.999998</v>
      </c>
      <c r="E45" s="82">
        <f t="shared" si="9"/>
        <v>11049999999.999998</v>
      </c>
      <c r="F45" s="82">
        <f t="shared" si="9"/>
        <v>10400000000</v>
      </c>
      <c r="G45" s="82">
        <f t="shared" si="9"/>
        <v>8449999999.999999</v>
      </c>
      <c r="H45" s="82">
        <f t="shared" si="9"/>
        <v>7799999999.999999</v>
      </c>
      <c r="I45" s="83">
        <f t="shared" si="9"/>
        <v>7149999999.999999</v>
      </c>
      <c r="J45" s="82">
        <f t="shared" si="9"/>
        <v>11049999999.999998</v>
      </c>
      <c r="K45" s="82">
        <f t="shared" si="9"/>
        <v>11049999999.999998</v>
      </c>
      <c r="L45" s="82">
        <f t="shared" si="9"/>
        <v>10400000000</v>
      </c>
      <c r="M45" s="82">
        <f t="shared" si="9"/>
        <v>8449999999.999999</v>
      </c>
      <c r="N45" s="82">
        <f t="shared" si="9"/>
        <v>7799999999.999999</v>
      </c>
      <c r="O45" s="83">
        <f t="shared" si="9"/>
        <v>7149999999.999999</v>
      </c>
    </row>
    <row r="46" spans="1:15" x14ac:dyDescent="0.25">
      <c r="A46" s="44">
        <v>84852.813742385697</v>
      </c>
      <c r="B46" s="18" t="s">
        <v>3</v>
      </c>
      <c r="C46" s="70">
        <v>3</v>
      </c>
      <c r="D46" s="81">
        <f t="shared" si="10"/>
        <v>10199999999.999998</v>
      </c>
      <c r="E46" s="82">
        <f t="shared" si="9"/>
        <v>10199999999.999998</v>
      </c>
      <c r="F46" s="82">
        <f t="shared" si="9"/>
        <v>9600000000</v>
      </c>
      <c r="G46" s="82">
        <f t="shared" si="9"/>
        <v>7799999999.999999</v>
      </c>
      <c r="H46" s="82">
        <f t="shared" si="9"/>
        <v>7199999999.999999</v>
      </c>
      <c r="I46" s="83">
        <f t="shared" si="9"/>
        <v>6599999999.999999</v>
      </c>
      <c r="J46" s="82">
        <f t="shared" si="9"/>
        <v>10199999999.999998</v>
      </c>
      <c r="K46" s="82">
        <f t="shared" si="9"/>
        <v>10199999999.999998</v>
      </c>
      <c r="L46" s="82">
        <f t="shared" si="9"/>
        <v>9600000000</v>
      </c>
      <c r="M46" s="82">
        <f t="shared" si="9"/>
        <v>7799999999.999999</v>
      </c>
      <c r="N46" s="82">
        <f t="shared" si="9"/>
        <v>7199999999.999999</v>
      </c>
      <c r="O46" s="83">
        <f t="shared" si="9"/>
        <v>6599999999.999999</v>
      </c>
    </row>
    <row r="47" spans="1:15" x14ac:dyDescent="0.25">
      <c r="A47" s="45">
        <v>77781.745930520221</v>
      </c>
      <c r="B47" s="19" t="s">
        <v>3</v>
      </c>
      <c r="C47" s="66">
        <v>5</v>
      </c>
      <c r="D47" s="84">
        <f t="shared" si="10"/>
        <v>9349999999.9999981</v>
      </c>
      <c r="E47" s="85">
        <f t="shared" si="9"/>
        <v>9349999999.9999981</v>
      </c>
      <c r="F47" s="85">
        <f t="shared" si="9"/>
        <v>8799999999.9999981</v>
      </c>
      <c r="G47" s="85">
        <f t="shared" si="9"/>
        <v>7149999999.999999</v>
      </c>
      <c r="H47" s="85">
        <f t="shared" si="9"/>
        <v>6599999999.999999</v>
      </c>
      <c r="I47" s="86">
        <f t="shared" si="9"/>
        <v>6049999999.999999</v>
      </c>
      <c r="J47" s="85">
        <f t="shared" si="9"/>
        <v>9349999999.9999981</v>
      </c>
      <c r="K47" s="85">
        <f t="shared" si="9"/>
        <v>9349999999.9999981</v>
      </c>
      <c r="L47" s="85">
        <f t="shared" si="9"/>
        <v>8799999999.9999981</v>
      </c>
      <c r="M47" s="85">
        <f t="shared" si="9"/>
        <v>7149999999.999999</v>
      </c>
      <c r="N47" s="85">
        <f t="shared" si="9"/>
        <v>6599999999.999999</v>
      </c>
      <c r="O47" s="86">
        <f t="shared" si="9"/>
        <v>6049999999.999999</v>
      </c>
    </row>
    <row r="50" spans="1:3" ht="15.75" x14ac:dyDescent="0.25">
      <c r="A50" s="1" t="s">
        <v>18</v>
      </c>
      <c r="C50" s="87">
        <f>+SQRT(SUMPRODUCT(D20:O31,D36:O47))</f>
        <v>1018471.2086213002</v>
      </c>
    </row>
    <row r="51" spans="1:3" x14ac:dyDescent="0.25">
      <c r="A51" s="1" t="s">
        <v>19</v>
      </c>
      <c r="B51" s="46">
        <f>+correlaciones!$Y$2</f>
        <v>1</v>
      </c>
    </row>
  </sheetData>
  <dataValidations count="1">
    <dataValidation type="list" allowBlank="1" showInputMessage="1" showErrorMessage="1" sqref="A9" xr:uid="{00000000-0002-0000-0300-000000000000}">
      <formula1>"SI,NO"</formula1>
    </dataValidation>
  </dataValidation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64"/>
  <sheetViews>
    <sheetView showGridLines="0" zoomScale="85" zoomScaleNormal="85" workbookViewId="0"/>
  </sheetViews>
  <sheetFormatPr defaultColWidth="8.85546875" defaultRowHeight="15" x14ac:dyDescent="0.25"/>
  <cols>
    <col min="1" max="1" width="14.42578125" customWidth="1"/>
    <col min="2" max="2" width="10" bestFit="1" customWidth="1"/>
    <col min="3" max="3" width="12.7109375" bestFit="1" customWidth="1"/>
    <col min="4" max="21" width="17.42578125" bestFit="1" customWidth="1"/>
  </cols>
  <sheetData>
    <row r="1" spans="1:9" ht="15.75" x14ac:dyDescent="0.25">
      <c r="A1" s="16" t="s">
        <v>27</v>
      </c>
    </row>
    <row r="2" spans="1:9" ht="15.75" x14ac:dyDescent="0.25">
      <c r="A2" s="16"/>
    </row>
    <row r="3" spans="1:9" x14ac:dyDescent="0.25">
      <c r="A3" s="7" t="s">
        <v>12</v>
      </c>
    </row>
    <row r="4" spans="1:9" x14ac:dyDescent="0.25">
      <c r="C4" s="20" t="s">
        <v>1</v>
      </c>
      <c r="D4" s="21">
        <v>0.25</v>
      </c>
      <c r="E4" s="21">
        <v>0.5</v>
      </c>
      <c r="F4" s="21">
        <v>1</v>
      </c>
      <c r="G4" s="21">
        <v>2</v>
      </c>
      <c r="H4" s="21">
        <v>3</v>
      </c>
      <c r="I4" s="22">
        <v>5</v>
      </c>
    </row>
    <row r="5" spans="1:9" x14ac:dyDescent="0.25">
      <c r="A5" s="20" t="s">
        <v>23</v>
      </c>
      <c r="B5" s="22" t="s">
        <v>2</v>
      </c>
      <c r="D5" s="53">
        <v>1000</v>
      </c>
      <c r="E5" s="53">
        <v>1000</v>
      </c>
      <c r="F5" s="53">
        <v>1000</v>
      </c>
      <c r="G5" s="53">
        <v>1000</v>
      </c>
      <c r="H5" s="53">
        <v>1000</v>
      </c>
      <c r="I5" s="53">
        <v>1000</v>
      </c>
    </row>
    <row r="6" spans="1:9" x14ac:dyDescent="0.25">
      <c r="A6" s="20" t="s">
        <v>24</v>
      </c>
      <c r="B6" s="22" t="s">
        <v>3</v>
      </c>
      <c r="D6" s="54">
        <v>1000</v>
      </c>
      <c r="E6" s="54">
        <v>1000</v>
      </c>
      <c r="F6" s="54">
        <v>1000</v>
      </c>
      <c r="G6" s="54">
        <v>1000</v>
      </c>
      <c r="H6" s="54">
        <v>1000</v>
      </c>
      <c r="I6" s="54">
        <v>1000</v>
      </c>
    </row>
    <row r="7" spans="1:9" x14ac:dyDescent="0.25">
      <c r="A7" s="20" t="s">
        <v>24</v>
      </c>
      <c r="B7" s="22" t="s">
        <v>28</v>
      </c>
      <c r="D7" s="35">
        <v>1000</v>
      </c>
      <c r="E7" s="35">
        <v>1000</v>
      </c>
      <c r="F7" s="35">
        <v>1000</v>
      </c>
      <c r="G7" s="35">
        <v>1000</v>
      </c>
      <c r="H7" s="35">
        <v>1000</v>
      </c>
      <c r="I7" s="35">
        <v>1000</v>
      </c>
    </row>
    <row r="9" spans="1:9" x14ac:dyDescent="0.25">
      <c r="A9" s="7" t="s">
        <v>14</v>
      </c>
    </row>
    <row r="10" spans="1:9" x14ac:dyDescent="0.25">
      <c r="A10" s="23" t="s">
        <v>13</v>
      </c>
      <c r="C10" s="20" t="s">
        <v>1</v>
      </c>
      <c r="D10" s="21">
        <v>0.25</v>
      </c>
      <c r="E10" s="21">
        <v>0.5</v>
      </c>
      <c r="F10" s="21">
        <v>1</v>
      </c>
      <c r="G10" s="21">
        <v>2</v>
      </c>
      <c r="H10" s="21">
        <v>3</v>
      </c>
      <c r="I10" s="22">
        <v>5</v>
      </c>
    </row>
    <row r="11" spans="1:9" x14ac:dyDescent="0.25">
      <c r="A11">
        <f>+IF(A10="SI",SQRT(2),1)</f>
        <v>1.4142135623730951</v>
      </c>
      <c r="C11" s="33" t="s">
        <v>29</v>
      </c>
      <c r="D11" s="33">
        <v>170</v>
      </c>
      <c r="E11" s="33">
        <v>170</v>
      </c>
      <c r="F11" s="33">
        <v>160</v>
      </c>
      <c r="G11" s="33">
        <v>130</v>
      </c>
      <c r="H11" s="33">
        <v>120</v>
      </c>
      <c r="I11" s="33">
        <v>110</v>
      </c>
    </row>
    <row r="12" spans="1:9" x14ac:dyDescent="0.25">
      <c r="C12" s="34" t="s">
        <v>30</v>
      </c>
      <c r="D12" s="34">
        <f>+D11/$A$11</f>
        <v>120.20815280171307</v>
      </c>
      <c r="E12" s="34">
        <f t="shared" ref="E12:I12" si="0">+E11/$A$11</f>
        <v>120.20815280171307</v>
      </c>
      <c r="F12" s="34">
        <f t="shared" si="0"/>
        <v>113.13708498984759</v>
      </c>
      <c r="G12" s="34">
        <f t="shared" si="0"/>
        <v>91.923881554251167</v>
      </c>
      <c r="H12" s="34">
        <f t="shared" si="0"/>
        <v>84.852813742385692</v>
      </c>
      <c r="I12" s="34">
        <f t="shared" si="0"/>
        <v>77.781745930520216</v>
      </c>
    </row>
    <row r="14" spans="1:9" x14ac:dyDescent="0.25">
      <c r="A14" s="7" t="s">
        <v>15</v>
      </c>
      <c r="B14" t="s">
        <v>23</v>
      </c>
      <c r="C14" s="22" t="s">
        <v>2</v>
      </c>
      <c r="D14" s="75">
        <f t="shared" ref="D14:I14" si="1">+D12*D5</f>
        <v>120208.15280171306</v>
      </c>
      <c r="E14" s="76">
        <f t="shared" si="1"/>
        <v>120208.15280171306</v>
      </c>
      <c r="F14" s="76">
        <f t="shared" si="1"/>
        <v>113137.0849898476</v>
      </c>
      <c r="G14" s="76">
        <f t="shared" si="1"/>
        <v>91923.881554251173</v>
      </c>
      <c r="H14" s="76">
        <f t="shared" si="1"/>
        <v>84852.813742385697</v>
      </c>
      <c r="I14" s="76">
        <f t="shared" si="1"/>
        <v>77781.745930520221</v>
      </c>
    </row>
    <row r="15" spans="1:9" x14ac:dyDescent="0.25">
      <c r="A15" s="7"/>
      <c r="B15" t="s">
        <v>24</v>
      </c>
      <c r="C15" s="23" t="s">
        <v>3</v>
      </c>
      <c r="D15" s="88">
        <f>+D12*D6</f>
        <v>120208.15280171306</v>
      </c>
      <c r="E15" s="88">
        <f t="shared" ref="E15:I15" si="2">+E12*E6</f>
        <v>120208.15280171306</v>
      </c>
      <c r="F15" s="88">
        <f t="shared" si="2"/>
        <v>113137.0849898476</v>
      </c>
      <c r="G15" s="88">
        <f t="shared" si="2"/>
        <v>91923.881554251173</v>
      </c>
      <c r="H15" s="88">
        <f t="shared" si="2"/>
        <v>84852.813742385697</v>
      </c>
      <c r="I15" s="88">
        <f t="shared" si="2"/>
        <v>77781.745930520221</v>
      </c>
    </row>
    <row r="16" spans="1:9" x14ac:dyDescent="0.25">
      <c r="A16" s="7"/>
      <c r="B16" t="s">
        <v>24</v>
      </c>
      <c r="C16" s="23" t="s">
        <v>28</v>
      </c>
      <c r="D16" s="89">
        <f>+D12*D7</f>
        <v>120208.15280171306</v>
      </c>
      <c r="E16" s="90">
        <f t="shared" ref="E16:I16" si="3">+E12*E7</f>
        <v>120208.15280171306</v>
      </c>
      <c r="F16" s="90">
        <f t="shared" si="3"/>
        <v>113137.0849898476</v>
      </c>
      <c r="G16" s="90">
        <f t="shared" si="3"/>
        <v>91923.881554251173</v>
      </c>
      <c r="H16" s="90">
        <f t="shared" si="3"/>
        <v>84852.813742385697</v>
      </c>
      <c r="I16" s="90">
        <f t="shared" si="3"/>
        <v>77781.745930520221</v>
      </c>
    </row>
    <row r="18" spans="1:21" x14ac:dyDescent="0.25">
      <c r="A18" s="7" t="s">
        <v>16</v>
      </c>
      <c r="D18" s="47" t="s">
        <v>25</v>
      </c>
      <c r="E18" s="48" t="s">
        <v>25</v>
      </c>
      <c r="F18" s="48" t="s">
        <v>25</v>
      </c>
      <c r="G18" s="48" t="s">
        <v>25</v>
      </c>
      <c r="H18" s="48" t="s">
        <v>25</v>
      </c>
      <c r="I18" s="49" t="s">
        <v>25</v>
      </c>
      <c r="J18" s="48" t="s">
        <v>26</v>
      </c>
      <c r="K18" s="48" t="s">
        <v>26</v>
      </c>
      <c r="L18" s="48" t="s">
        <v>26</v>
      </c>
      <c r="M18" s="48" t="s">
        <v>26</v>
      </c>
      <c r="N18" s="48" t="s">
        <v>26</v>
      </c>
      <c r="O18" s="49" t="s">
        <v>26</v>
      </c>
      <c r="P18" s="48" t="s">
        <v>26</v>
      </c>
      <c r="Q18" s="48" t="s">
        <v>26</v>
      </c>
      <c r="R18" s="48" t="s">
        <v>26</v>
      </c>
      <c r="S18" s="48" t="s">
        <v>26</v>
      </c>
      <c r="T18" s="48" t="s">
        <v>26</v>
      </c>
      <c r="U18" s="49" t="s">
        <v>26</v>
      </c>
    </row>
    <row r="19" spans="1:21" x14ac:dyDescent="0.25">
      <c r="C19" s="20" t="s">
        <v>0</v>
      </c>
      <c r="D19" s="21" t="str">
        <f t="array" ref="D19:I19">+TRANSPOSE(B21:B26)</f>
        <v>1M</v>
      </c>
      <c r="E19" s="21" t="str">
        <v>1M</v>
      </c>
      <c r="F19" s="21" t="str">
        <v>1M</v>
      </c>
      <c r="G19" s="21" t="str">
        <v>1M</v>
      </c>
      <c r="H19" s="21" t="str">
        <v>1M</v>
      </c>
      <c r="I19" s="22" t="str">
        <v>1M</v>
      </c>
      <c r="J19" s="21" t="s">
        <v>3</v>
      </c>
      <c r="K19" s="21" t="s">
        <v>3</v>
      </c>
      <c r="L19" s="21" t="s">
        <v>3</v>
      </c>
      <c r="M19" s="21" t="s">
        <v>3</v>
      </c>
      <c r="N19" s="21" t="s">
        <v>3</v>
      </c>
      <c r="O19" s="22" t="s">
        <v>3</v>
      </c>
      <c r="P19" s="21" t="s">
        <v>28</v>
      </c>
      <c r="Q19" s="21" t="s">
        <v>28</v>
      </c>
      <c r="R19" s="21" t="s">
        <v>28</v>
      </c>
      <c r="S19" s="21" t="s">
        <v>28</v>
      </c>
      <c r="T19" s="21" t="s">
        <v>28</v>
      </c>
      <c r="U19" s="22" t="s">
        <v>28</v>
      </c>
    </row>
    <row r="20" spans="1:21" x14ac:dyDescent="0.25">
      <c r="B20" s="17" t="s">
        <v>0</v>
      </c>
      <c r="C20" s="66" t="s">
        <v>1</v>
      </c>
      <c r="D20" s="67">
        <f t="array" ref="D20:I20">+TRANSPOSE(C21:C26)</f>
        <v>0.25</v>
      </c>
      <c r="E20" s="67">
        <v>0.5</v>
      </c>
      <c r="F20" s="67">
        <v>1</v>
      </c>
      <c r="G20" s="67">
        <v>2</v>
      </c>
      <c r="H20" s="67">
        <v>3</v>
      </c>
      <c r="I20" s="68">
        <v>5</v>
      </c>
      <c r="J20" s="67">
        <v>0.25</v>
      </c>
      <c r="K20" s="67">
        <v>0.5</v>
      </c>
      <c r="L20" s="67">
        <v>1</v>
      </c>
      <c r="M20" s="67">
        <v>2</v>
      </c>
      <c r="N20" s="67">
        <v>3</v>
      </c>
      <c r="O20" s="68">
        <v>5</v>
      </c>
      <c r="P20" s="67">
        <v>0.25</v>
      </c>
      <c r="Q20" s="67">
        <v>0.5</v>
      </c>
      <c r="R20" s="67">
        <v>1</v>
      </c>
      <c r="S20" s="67">
        <v>2</v>
      </c>
      <c r="T20" s="67">
        <v>3</v>
      </c>
      <c r="U20" s="68">
        <v>5</v>
      </c>
    </row>
    <row r="21" spans="1:21" x14ac:dyDescent="0.25">
      <c r="A21" s="50" t="s">
        <v>25</v>
      </c>
      <c r="B21" s="18" t="s">
        <v>2</v>
      </c>
      <c r="C21" s="69">
        <v>0.25</v>
      </c>
      <c r="D21" s="24">
        <f>+correlaciones!Z14</f>
        <v>1</v>
      </c>
      <c r="E21" s="25">
        <f>+correlaciones!AA14</f>
        <v>0.97044553354850815</v>
      </c>
      <c r="F21" s="25">
        <f>+correlaciones!AB14</f>
        <v>0.91393118527122819</v>
      </c>
      <c r="G21" s="25">
        <f>+correlaciones!AC14</f>
        <v>0.81058424597018708</v>
      </c>
      <c r="H21" s="25">
        <f>+correlaciones!AD14</f>
        <v>0.71892373343192617</v>
      </c>
      <c r="I21" s="26">
        <f>+correlaciones!AE14</f>
        <v>0.56552543869953709</v>
      </c>
      <c r="J21" s="25">
        <f t="shared" ref="J21:U26" si="4">0.5*$B$64</f>
        <v>0.5</v>
      </c>
      <c r="K21" s="25">
        <f t="shared" si="4"/>
        <v>0.5</v>
      </c>
      <c r="L21" s="25">
        <f t="shared" si="4"/>
        <v>0.5</v>
      </c>
      <c r="M21" s="25">
        <f t="shared" si="4"/>
        <v>0.5</v>
      </c>
      <c r="N21" s="25">
        <f t="shared" si="4"/>
        <v>0.5</v>
      </c>
      <c r="O21" s="26">
        <f t="shared" si="4"/>
        <v>0.5</v>
      </c>
      <c r="P21" s="25">
        <f t="shared" si="4"/>
        <v>0.5</v>
      </c>
      <c r="Q21" s="25">
        <f t="shared" si="4"/>
        <v>0.5</v>
      </c>
      <c r="R21" s="25">
        <f t="shared" si="4"/>
        <v>0.5</v>
      </c>
      <c r="S21" s="25">
        <f t="shared" si="4"/>
        <v>0.5</v>
      </c>
      <c r="T21" s="25">
        <f t="shared" si="4"/>
        <v>0.5</v>
      </c>
      <c r="U21" s="26">
        <f t="shared" si="4"/>
        <v>0.5</v>
      </c>
    </row>
    <row r="22" spans="1:21" x14ac:dyDescent="0.25">
      <c r="A22" s="51" t="s">
        <v>25</v>
      </c>
      <c r="B22" s="18" t="s">
        <v>2</v>
      </c>
      <c r="C22" s="70">
        <v>0.5</v>
      </c>
      <c r="D22" s="27">
        <f>+correlaciones!Z15</f>
        <v>0.97044553354850815</v>
      </c>
      <c r="E22" s="28">
        <f>+correlaciones!AA15</f>
        <v>1</v>
      </c>
      <c r="F22" s="28">
        <f>+correlaciones!AB15</f>
        <v>0.97044553354850815</v>
      </c>
      <c r="G22" s="28">
        <f>+correlaciones!AC15</f>
        <v>0.91393118527122819</v>
      </c>
      <c r="H22" s="28">
        <f>+correlaciones!AD15</f>
        <v>0.86070797642505781</v>
      </c>
      <c r="I22" s="29">
        <f>+correlaciones!AE15</f>
        <v>0.76337949433685315</v>
      </c>
      <c r="J22" s="28">
        <f t="shared" si="4"/>
        <v>0.5</v>
      </c>
      <c r="K22" s="28">
        <f t="shared" si="4"/>
        <v>0.5</v>
      </c>
      <c r="L22" s="28">
        <f t="shared" si="4"/>
        <v>0.5</v>
      </c>
      <c r="M22" s="28">
        <f t="shared" si="4"/>
        <v>0.5</v>
      </c>
      <c r="N22" s="28">
        <f t="shared" si="4"/>
        <v>0.5</v>
      </c>
      <c r="O22" s="29">
        <f t="shared" si="4"/>
        <v>0.5</v>
      </c>
      <c r="P22" s="28">
        <f t="shared" si="4"/>
        <v>0.5</v>
      </c>
      <c r="Q22" s="28">
        <f t="shared" si="4"/>
        <v>0.5</v>
      </c>
      <c r="R22" s="28">
        <f t="shared" si="4"/>
        <v>0.5</v>
      </c>
      <c r="S22" s="28">
        <f t="shared" si="4"/>
        <v>0.5</v>
      </c>
      <c r="T22" s="28">
        <f t="shared" si="4"/>
        <v>0.5</v>
      </c>
      <c r="U22" s="29">
        <f t="shared" si="4"/>
        <v>0.5</v>
      </c>
    </row>
    <row r="23" spans="1:21" x14ac:dyDescent="0.25">
      <c r="A23" s="51" t="s">
        <v>25</v>
      </c>
      <c r="B23" s="18" t="s">
        <v>2</v>
      </c>
      <c r="C23" s="70">
        <v>1</v>
      </c>
      <c r="D23" s="27">
        <f>+correlaciones!Z16</f>
        <v>0.91393118527122819</v>
      </c>
      <c r="E23" s="28">
        <f>+correlaciones!AA16</f>
        <v>0.97044553354850815</v>
      </c>
      <c r="F23" s="28">
        <f>+correlaciones!AB16</f>
        <v>1</v>
      </c>
      <c r="G23" s="28">
        <f>+correlaciones!AC16</f>
        <v>0.97044553354850815</v>
      </c>
      <c r="H23" s="28">
        <f>+correlaciones!AD16</f>
        <v>0.94176453358424872</v>
      </c>
      <c r="I23" s="29">
        <f>+correlaciones!AE16</f>
        <v>0.88692043671715748</v>
      </c>
      <c r="J23" s="28">
        <f t="shared" si="4"/>
        <v>0.5</v>
      </c>
      <c r="K23" s="28">
        <f t="shared" si="4"/>
        <v>0.5</v>
      </c>
      <c r="L23" s="28">
        <f t="shared" si="4"/>
        <v>0.5</v>
      </c>
      <c r="M23" s="28">
        <f t="shared" si="4"/>
        <v>0.5</v>
      </c>
      <c r="N23" s="28">
        <f t="shared" si="4"/>
        <v>0.5</v>
      </c>
      <c r="O23" s="29">
        <f t="shared" si="4"/>
        <v>0.5</v>
      </c>
      <c r="P23" s="28">
        <f t="shared" si="4"/>
        <v>0.5</v>
      </c>
      <c r="Q23" s="28">
        <f t="shared" si="4"/>
        <v>0.5</v>
      </c>
      <c r="R23" s="28">
        <f t="shared" si="4"/>
        <v>0.5</v>
      </c>
      <c r="S23" s="28">
        <f t="shared" si="4"/>
        <v>0.5</v>
      </c>
      <c r="T23" s="28">
        <f t="shared" si="4"/>
        <v>0.5</v>
      </c>
      <c r="U23" s="29">
        <f t="shared" si="4"/>
        <v>0.5</v>
      </c>
    </row>
    <row r="24" spans="1:21" x14ac:dyDescent="0.25">
      <c r="A24" s="51" t="s">
        <v>25</v>
      </c>
      <c r="B24" s="18" t="s">
        <v>2</v>
      </c>
      <c r="C24" s="70">
        <v>2</v>
      </c>
      <c r="D24" s="27">
        <f>+correlaciones!Z17</f>
        <v>0.81058424597018708</v>
      </c>
      <c r="E24" s="28">
        <f>+correlaciones!AA17</f>
        <v>0.91393118527122819</v>
      </c>
      <c r="F24" s="28">
        <f>+correlaciones!AB17</f>
        <v>0.97044553354850815</v>
      </c>
      <c r="G24" s="28">
        <f>+correlaciones!AC17</f>
        <v>1</v>
      </c>
      <c r="H24" s="28">
        <f>+correlaciones!AD17</f>
        <v>0.98511193960306265</v>
      </c>
      <c r="I24" s="29">
        <f>+correlaciones!AE17</f>
        <v>0.95599748183309996</v>
      </c>
      <c r="J24" s="28">
        <f t="shared" si="4"/>
        <v>0.5</v>
      </c>
      <c r="K24" s="28">
        <f t="shared" si="4"/>
        <v>0.5</v>
      </c>
      <c r="L24" s="28">
        <f t="shared" si="4"/>
        <v>0.5</v>
      </c>
      <c r="M24" s="28">
        <f t="shared" si="4"/>
        <v>0.5</v>
      </c>
      <c r="N24" s="28">
        <f t="shared" si="4"/>
        <v>0.5</v>
      </c>
      <c r="O24" s="29">
        <f t="shared" si="4"/>
        <v>0.5</v>
      </c>
      <c r="P24" s="28">
        <f t="shared" si="4"/>
        <v>0.5</v>
      </c>
      <c r="Q24" s="28">
        <f t="shared" si="4"/>
        <v>0.5</v>
      </c>
      <c r="R24" s="28">
        <f t="shared" si="4"/>
        <v>0.5</v>
      </c>
      <c r="S24" s="28">
        <f t="shared" si="4"/>
        <v>0.5</v>
      </c>
      <c r="T24" s="28">
        <f t="shared" si="4"/>
        <v>0.5</v>
      </c>
      <c r="U24" s="29">
        <f t="shared" si="4"/>
        <v>0.5</v>
      </c>
    </row>
    <row r="25" spans="1:21" x14ac:dyDescent="0.25">
      <c r="A25" s="51" t="s">
        <v>25</v>
      </c>
      <c r="B25" s="18" t="s">
        <v>2</v>
      </c>
      <c r="C25" s="70">
        <v>3</v>
      </c>
      <c r="D25" s="27">
        <f>+correlaciones!Z18</f>
        <v>0.71892373343192617</v>
      </c>
      <c r="E25" s="28">
        <f>+correlaciones!AA18</f>
        <v>0.86070797642505781</v>
      </c>
      <c r="F25" s="28">
        <f>+correlaciones!AB18</f>
        <v>0.94176453358424872</v>
      </c>
      <c r="G25" s="28">
        <f>+correlaciones!AC18</f>
        <v>0.98511193960306265</v>
      </c>
      <c r="H25" s="28">
        <f>+correlaciones!AD18</f>
        <v>1</v>
      </c>
      <c r="I25" s="29">
        <f>+correlaciones!AE18</f>
        <v>0.98019867330675525</v>
      </c>
      <c r="J25" s="28">
        <f t="shared" si="4"/>
        <v>0.5</v>
      </c>
      <c r="K25" s="28">
        <f t="shared" si="4"/>
        <v>0.5</v>
      </c>
      <c r="L25" s="28">
        <f t="shared" si="4"/>
        <v>0.5</v>
      </c>
      <c r="M25" s="28">
        <f t="shared" si="4"/>
        <v>0.5</v>
      </c>
      <c r="N25" s="28">
        <f t="shared" si="4"/>
        <v>0.5</v>
      </c>
      <c r="O25" s="29">
        <f t="shared" si="4"/>
        <v>0.5</v>
      </c>
      <c r="P25" s="28">
        <f t="shared" si="4"/>
        <v>0.5</v>
      </c>
      <c r="Q25" s="28">
        <f t="shared" si="4"/>
        <v>0.5</v>
      </c>
      <c r="R25" s="28">
        <f t="shared" si="4"/>
        <v>0.5</v>
      </c>
      <c r="S25" s="28">
        <f t="shared" si="4"/>
        <v>0.5</v>
      </c>
      <c r="T25" s="28">
        <f t="shared" si="4"/>
        <v>0.5</v>
      </c>
      <c r="U25" s="29">
        <f t="shared" si="4"/>
        <v>0.5</v>
      </c>
    </row>
    <row r="26" spans="1:21" x14ac:dyDescent="0.25">
      <c r="A26" s="52" t="s">
        <v>25</v>
      </c>
      <c r="B26" s="19" t="s">
        <v>2</v>
      </c>
      <c r="C26" s="66">
        <v>5</v>
      </c>
      <c r="D26" s="30">
        <f>+correlaciones!Z19</f>
        <v>0.56552543869953709</v>
      </c>
      <c r="E26" s="31">
        <f>+correlaciones!AA19</f>
        <v>0.76337949433685315</v>
      </c>
      <c r="F26" s="31">
        <f>+correlaciones!AB19</f>
        <v>0.88692043671715748</v>
      </c>
      <c r="G26" s="31">
        <f>+correlaciones!AC19</f>
        <v>0.95599748183309996</v>
      </c>
      <c r="H26" s="31">
        <f>+correlaciones!AD19</f>
        <v>0.98019867330675525</v>
      </c>
      <c r="I26" s="32">
        <f>+correlaciones!AE19</f>
        <v>1</v>
      </c>
      <c r="J26" s="31">
        <f t="shared" si="4"/>
        <v>0.5</v>
      </c>
      <c r="K26" s="31">
        <f t="shared" si="4"/>
        <v>0.5</v>
      </c>
      <c r="L26" s="31">
        <f t="shared" si="4"/>
        <v>0.5</v>
      </c>
      <c r="M26" s="31">
        <f t="shared" si="4"/>
        <v>0.5</v>
      </c>
      <c r="N26" s="31">
        <f t="shared" si="4"/>
        <v>0.5</v>
      </c>
      <c r="O26" s="32">
        <f t="shared" si="4"/>
        <v>0.5</v>
      </c>
      <c r="P26" s="31">
        <f t="shared" si="4"/>
        <v>0.5</v>
      </c>
      <c r="Q26" s="31">
        <f t="shared" si="4"/>
        <v>0.5</v>
      </c>
      <c r="R26" s="31">
        <f t="shared" si="4"/>
        <v>0.5</v>
      </c>
      <c r="S26" s="31">
        <f t="shared" si="4"/>
        <v>0.5</v>
      </c>
      <c r="T26" s="31">
        <f t="shared" si="4"/>
        <v>0.5</v>
      </c>
      <c r="U26" s="32">
        <f t="shared" si="4"/>
        <v>0.5</v>
      </c>
    </row>
    <row r="27" spans="1:21" x14ac:dyDescent="0.25">
      <c r="A27" s="51" t="s">
        <v>26</v>
      </c>
      <c r="B27" s="18" t="s">
        <v>3</v>
      </c>
      <c r="C27" s="69">
        <v>0.25</v>
      </c>
      <c r="D27" s="27">
        <f t="shared" ref="D27:I38" si="5">0.5*$B$64</f>
        <v>0.5</v>
      </c>
      <c r="E27" s="28">
        <f t="shared" si="5"/>
        <v>0.5</v>
      </c>
      <c r="F27" s="28">
        <f t="shared" si="5"/>
        <v>0.5</v>
      </c>
      <c r="G27" s="28">
        <f t="shared" si="5"/>
        <v>0.5</v>
      </c>
      <c r="H27" s="28">
        <f t="shared" si="5"/>
        <v>0.5</v>
      </c>
      <c r="I27" s="29">
        <f t="shared" si="5"/>
        <v>0.5</v>
      </c>
      <c r="J27" s="28">
        <f>'delta GIRR 2'!D20</f>
        <v>1</v>
      </c>
      <c r="K27" s="28">
        <f>'delta GIRR 2'!E20</f>
        <v>0.97044553354850815</v>
      </c>
      <c r="L27" s="28">
        <f>'delta GIRR 2'!F20</f>
        <v>0.91393118527122819</v>
      </c>
      <c r="M27" s="28">
        <f>'delta GIRR 2'!G20</f>
        <v>0.81058424597018708</v>
      </c>
      <c r="N27" s="28">
        <f>'delta GIRR 2'!H20</f>
        <v>0.71892373343192617</v>
      </c>
      <c r="O27" s="29">
        <f>'delta GIRR 2'!I20</f>
        <v>0.56552543869953709</v>
      </c>
      <c r="P27" s="28">
        <f>'delta GIRR 2'!J20</f>
        <v>0.99900000000000011</v>
      </c>
      <c r="Q27" s="28">
        <f>'delta GIRR 2'!K20</f>
        <v>0.96947508801495974</v>
      </c>
      <c r="R27" s="28">
        <f>'delta GIRR 2'!L20</f>
        <v>0.91301725408595702</v>
      </c>
      <c r="S27" s="28">
        <f>'delta GIRR 2'!M20</f>
        <v>0.80977366172421694</v>
      </c>
      <c r="T27" s="28">
        <f>'delta GIRR 2'!N20</f>
        <v>0.71820480969849432</v>
      </c>
      <c r="U27" s="29">
        <f>'delta GIRR 2'!O20</f>
        <v>0.56495991326083761</v>
      </c>
    </row>
    <row r="28" spans="1:21" x14ac:dyDescent="0.25">
      <c r="A28" s="51" t="s">
        <v>26</v>
      </c>
      <c r="B28" s="18" t="s">
        <v>3</v>
      </c>
      <c r="C28" s="70">
        <v>0.5</v>
      </c>
      <c r="D28" s="27">
        <f t="shared" si="5"/>
        <v>0.5</v>
      </c>
      <c r="E28" s="28">
        <f t="shared" si="5"/>
        <v>0.5</v>
      </c>
      <c r="F28" s="28">
        <f t="shared" si="5"/>
        <v>0.5</v>
      </c>
      <c r="G28" s="28">
        <f t="shared" si="5"/>
        <v>0.5</v>
      </c>
      <c r="H28" s="28">
        <f t="shared" si="5"/>
        <v>0.5</v>
      </c>
      <c r="I28" s="29">
        <f t="shared" si="5"/>
        <v>0.5</v>
      </c>
      <c r="J28" s="28">
        <f>'delta GIRR 2'!D21</f>
        <v>0.97044553354850815</v>
      </c>
      <c r="K28" s="28">
        <f>'delta GIRR 2'!E21</f>
        <v>1</v>
      </c>
      <c r="L28" s="28">
        <f>'delta GIRR 2'!F21</f>
        <v>0.97044553354850815</v>
      </c>
      <c r="M28" s="28">
        <f>'delta GIRR 2'!G21</f>
        <v>0.91393118527122819</v>
      </c>
      <c r="N28" s="28">
        <f>'delta GIRR 2'!H21</f>
        <v>0.86070797642505781</v>
      </c>
      <c r="O28" s="29">
        <f>'delta GIRR 2'!I21</f>
        <v>0.76337949433685315</v>
      </c>
      <c r="P28" s="28">
        <f>'delta GIRR 2'!J21</f>
        <v>0.96947508801495974</v>
      </c>
      <c r="Q28" s="28">
        <f>'delta GIRR 2'!K21</f>
        <v>0.99900000000000011</v>
      </c>
      <c r="R28" s="28">
        <f>'delta GIRR 2'!L21</f>
        <v>0.96947508801495974</v>
      </c>
      <c r="S28" s="28">
        <f>'delta GIRR 2'!M21</f>
        <v>0.91301725408595702</v>
      </c>
      <c r="T28" s="28">
        <f>'delta GIRR 2'!N21</f>
        <v>0.8598472684486328</v>
      </c>
      <c r="U28" s="29">
        <f>'delta GIRR 2'!O21</f>
        <v>0.76261611484251635</v>
      </c>
    </row>
    <row r="29" spans="1:21" x14ac:dyDescent="0.25">
      <c r="A29" s="51" t="s">
        <v>26</v>
      </c>
      <c r="B29" s="18" t="s">
        <v>3</v>
      </c>
      <c r="C29" s="70">
        <v>1</v>
      </c>
      <c r="D29" s="27">
        <f t="shared" si="5"/>
        <v>0.5</v>
      </c>
      <c r="E29" s="28">
        <f t="shared" si="5"/>
        <v>0.5</v>
      </c>
      <c r="F29" s="28">
        <f t="shared" si="5"/>
        <v>0.5</v>
      </c>
      <c r="G29" s="28">
        <f t="shared" si="5"/>
        <v>0.5</v>
      </c>
      <c r="H29" s="28">
        <f t="shared" si="5"/>
        <v>0.5</v>
      </c>
      <c r="I29" s="29">
        <f t="shared" si="5"/>
        <v>0.5</v>
      </c>
      <c r="J29" s="28">
        <f>'delta GIRR 2'!D22</f>
        <v>0.91393118527122819</v>
      </c>
      <c r="K29" s="28">
        <f>'delta GIRR 2'!E22</f>
        <v>0.97044553354850815</v>
      </c>
      <c r="L29" s="28">
        <f>'delta GIRR 2'!F22</f>
        <v>1</v>
      </c>
      <c r="M29" s="28">
        <f>'delta GIRR 2'!G22</f>
        <v>0.97044553354850815</v>
      </c>
      <c r="N29" s="28">
        <f>'delta GIRR 2'!H22</f>
        <v>0.94176453358424872</v>
      </c>
      <c r="O29" s="29">
        <f>'delta GIRR 2'!I22</f>
        <v>0.88692043671715748</v>
      </c>
      <c r="P29" s="28">
        <f>'delta GIRR 2'!J22</f>
        <v>0.91301725408595702</v>
      </c>
      <c r="Q29" s="28">
        <f>'delta GIRR 2'!K22</f>
        <v>0.96947508801495974</v>
      </c>
      <c r="R29" s="28">
        <f>'delta GIRR 2'!L22</f>
        <v>0.99900000000000011</v>
      </c>
      <c r="S29" s="28">
        <f>'delta GIRR 2'!M22</f>
        <v>0.96947508801495974</v>
      </c>
      <c r="T29" s="28">
        <f>'delta GIRR 2'!N22</f>
        <v>0.94082276905066453</v>
      </c>
      <c r="U29" s="29">
        <f>'delta GIRR 2'!O22</f>
        <v>0.88603351628044047</v>
      </c>
    </row>
    <row r="30" spans="1:21" x14ac:dyDescent="0.25">
      <c r="A30" s="51" t="s">
        <v>26</v>
      </c>
      <c r="B30" s="18" t="s">
        <v>3</v>
      </c>
      <c r="C30" s="70">
        <v>2</v>
      </c>
      <c r="D30" s="27">
        <f t="shared" si="5"/>
        <v>0.5</v>
      </c>
      <c r="E30" s="28">
        <f t="shared" si="5"/>
        <v>0.5</v>
      </c>
      <c r="F30" s="28">
        <f t="shared" si="5"/>
        <v>0.5</v>
      </c>
      <c r="G30" s="28">
        <f t="shared" si="5"/>
        <v>0.5</v>
      </c>
      <c r="H30" s="28">
        <f t="shared" si="5"/>
        <v>0.5</v>
      </c>
      <c r="I30" s="29">
        <f t="shared" si="5"/>
        <v>0.5</v>
      </c>
      <c r="J30" s="28">
        <f>'delta GIRR 2'!D23</f>
        <v>0.81058424597018708</v>
      </c>
      <c r="K30" s="28">
        <f>'delta GIRR 2'!E23</f>
        <v>0.91393118527122819</v>
      </c>
      <c r="L30" s="28">
        <f>'delta GIRR 2'!F23</f>
        <v>0.97044553354850815</v>
      </c>
      <c r="M30" s="28">
        <f>'delta GIRR 2'!G23</f>
        <v>1</v>
      </c>
      <c r="N30" s="28">
        <f>'delta GIRR 2'!H23</f>
        <v>0.98511193960306265</v>
      </c>
      <c r="O30" s="29">
        <f>'delta GIRR 2'!I23</f>
        <v>0.95599748183309996</v>
      </c>
      <c r="P30" s="28">
        <f>'delta GIRR 2'!J23</f>
        <v>0.80977366172421694</v>
      </c>
      <c r="Q30" s="28">
        <f>'delta GIRR 2'!K23</f>
        <v>0.91301725408595702</v>
      </c>
      <c r="R30" s="28">
        <f>'delta GIRR 2'!L23</f>
        <v>0.96947508801495974</v>
      </c>
      <c r="S30" s="28">
        <f>'delta GIRR 2'!M23</f>
        <v>0.99900000000000011</v>
      </c>
      <c r="T30" s="28">
        <f>'delta GIRR 2'!N23</f>
        <v>0.98412682766345971</v>
      </c>
      <c r="U30" s="29">
        <f>'delta GIRR 2'!O23</f>
        <v>0.95504148435126701</v>
      </c>
    </row>
    <row r="31" spans="1:21" x14ac:dyDescent="0.25">
      <c r="A31" s="51" t="s">
        <v>26</v>
      </c>
      <c r="B31" s="18" t="s">
        <v>3</v>
      </c>
      <c r="C31" s="70">
        <v>3</v>
      </c>
      <c r="D31" s="27">
        <f t="shared" si="5"/>
        <v>0.5</v>
      </c>
      <c r="E31" s="28">
        <f t="shared" si="5"/>
        <v>0.5</v>
      </c>
      <c r="F31" s="28">
        <f t="shared" si="5"/>
        <v>0.5</v>
      </c>
      <c r="G31" s="28">
        <f t="shared" si="5"/>
        <v>0.5</v>
      </c>
      <c r="H31" s="28">
        <f t="shared" si="5"/>
        <v>0.5</v>
      </c>
      <c r="I31" s="29">
        <f t="shared" si="5"/>
        <v>0.5</v>
      </c>
      <c r="J31" s="28">
        <f>'delta GIRR 2'!D24</f>
        <v>0.71892373343192617</v>
      </c>
      <c r="K31" s="28">
        <f>'delta GIRR 2'!E24</f>
        <v>0.86070797642505781</v>
      </c>
      <c r="L31" s="28">
        <f>'delta GIRR 2'!F24</f>
        <v>0.94176453358424872</v>
      </c>
      <c r="M31" s="28">
        <f>'delta GIRR 2'!G24</f>
        <v>0.98511193960306265</v>
      </c>
      <c r="N31" s="28">
        <f>'delta GIRR 2'!H24</f>
        <v>1</v>
      </c>
      <c r="O31" s="29">
        <f>'delta GIRR 2'!I24</f>
        <v>0.98019867330675525</v>
      </c>
      <c r="P31" s="28">
        <f>'delta GIRR 2'!J24</f>
        <v>0.71820480969849432</v>
      </c>
      <c r="Q31" s="28">
        <f>'delta GIRR 2'!K24</f>
        <v>0.8598472684486328</v>
      </c>
      <c r="R31" s="28">
        <f>'delta GIRR 2'!L24</f>
        <v>0.94082276905066453</v>
      </c>
      <c r="S31" s="28">
        <f>'delta GIRR 2'!M24</f>
        <v>0.98412682766345971</v>
      </c>
      <c r="T31" s="28">
        <f>'delta GIRR 2'!N24</f>
        <v>0.99900000000000011</v>
      </c>
      <c r="U31" s="29">
        <f>'delta GIRR 2'!O24</f>
        <v>0.97921847463344858</v>
      </c>
    </row>
    <row r="32" spans="1:21" x14ac:dyDescent="0.25">
      <c r="A32" s="52" t="s">
        <v>26</v>
      </c>
      <c r="B32" s="19" t="s">
        <v>3</v>
      </c>
      <c r="C32" s="66">
        <v>5</v>
      </c>
      <c r="D32" s="30">
        <f t="shared" si="5"/>
        <v>0.5</v>
      </c>
      <c r="E32" s="31">
        <f t="shared" si="5"/>
        <v>0.5</v>
      </c>
      <c r="F32" s="31">
        <f t="shared" si="5"/>
        <v>0.5</v>
      </c>
      <c r="G32" s="31">
        <f t="shared" si="5"/>
        <v>0.5</v>
      </c>
      <c r="H32" s="31">
        <f t="shared" si="5"/>
        <v>0.5</v>
      </c>
      <c r="I32" s="32">
        <f t="shared" si="5"/>
        <v>0.5</v>
      </c>
      <c r="J32" s="31">
        <f>'delta GIRR 2'!D25</f>
        <v>0.56552543869953709</v>
      </c>
      <c r="K32" s="31">
        <f>'delta GIRR 2'!E25</f>
        <v>0.76337949433685315</v>
      </c>
      <c r="L32" s="31">
        <f>'delta GIRR 2'!F25</f>
        <v>0.88692043671715748</v>
      </c>
      <c r="M32" s="31">
        <f>'delta GIRR 2'!G25</f>
        <v>0.95599748183309996</v>
      </c>
      <c r="N32" s="31">
        <f>'delta GIRR 2'!H25</f>
        <v>0.98019867330675525</v>
      </c>
      <c r="O32" s="32">
        <f>'delta GIRR 2'!I25</f>
        <v>1</v>
      </c>
      <c r="P32" s="31">
        <f>'delta GIRR 2'!J25</f>
        <v>0.56495991326083761</v>
      </c>
      <c r="Q32" s="31">
        <f>'delta GIRR 2'!K25</f>
        <v>0.76261611484251635</v>
      </c>
      <c r="R32" s="31">
        <f>'delta GIRR 2'!L25</f>
        <v>0.88603351628044047</v>
      </c>
      <c r="S32" s="31">
        <f>'delta GIRR 2'!M25</f>
        <v>0.95504148435126701</v>
      </c>
      <c r="T32" s="31">
        <f>'delta GIRR 2'!N25</f>
        <v>0.97921847463344858</v>
      </c>
      <c r="U32" s="32">
        <f>'delta GIRR 2'!O25</f>
        <v>0.99900000000000011</v>
      </c>
    </row>
    <row r="33" spans="1:24" x14ac:dyDescent="0.25">
      <c r="A33" s="51" t="s">
        <v>26</v>
      </c>
      <c r="B33" s="18" t="s">
        <v>28</v>
      </c>
      <c r="C33" s="69">
        <v>0.25</v>
      </c>
      <c r="D33" s="27">
        <f t="shared" si="5"/>
        <v>0.5</v>
      </c>
      <c r="E33" s="28">
        <f t="shared" si="5"/>
        <v>0.5</v>
      </c>
      <c r="F33" s="28">
        <f t="shared" si="5"/>
        <v>0.5</v>
      </c>
      <c r="G33" s="28">
        <f t="shared" si="5"/>
        <v>0.5</v>
      </c>
      <c r="H33" s="28">
        <f t="shared" si="5"/>
        <v>0.5</v>
      </c>
      <c r="I33" s="29">
        <f t="shared" si="5"/>
        <v>0.5</v>
      </c>
      <c r="J33" s="28">
        <f>'delta GIRR 2'!D26</f>
        <v>0.99900000000000011</v>
      </c>
      <c r="K33" s="28">
        <f>'delta GIRR 2'!E26</f>
        <v>0.96947508801495974</v>
      </c>
      <c r="L33" s="28">
        <f>'delta GIRR 2'!F26</f>
        <v>0.91301725408595702</v>
      </c>
      <c r="M33" s="28">
        <f>'delta GIRR 2'!G26</f>
        <v>0.80977366172421694</v>
      </c>
      <c r="N33" s="28">
        <f>'delta GIRR 2'!H26</f>
        <v>0.71820480969849432</v>
      </c>
      <c r="O33" s="29">
        <f>'delta GIRR 2'!I26</f>
        <v>0.56495991326083761</v>
      </c>
      <c r="P33" s="28">
        <f>'delta GIRR 2'!J26</f>
        <v>1</v>
      </c>
      <c r="Q33" s="28">
        <f>'delta GIRR 2'!K26</f>
        <v>0.97044553354850815</v>
      </c>
      <c r="R33" s="28">
        <f>'delta GIRR 2'!L26</f>
        <v>0.91393118527122819</v>
      </c>
      <c r="S33" s="28">
        <f>'delta GIRR 2'!M26</f>
        <v>0.81058424597018708</v>
      </c>
      <c r="T33" s="28">
        <f>'delta GIRR 2'!N26</f>
        <v>0.71892373343192617</v>
      </c>
      <c r="U33" s="29">
        <f>'delta GIRR 2'!O26</f>
        <v>0.56552543869953709</v>
      </c>
    </row>
    <row r="34" spans="1:24" x14ac:dyDescent="0.25">
      <c r="A34" s="51" t="s">
        <v>26</v>
      </c>
      <c r="B34" s="18" t="s">
        <v>28</v>
      </c>
      <c r="C34" s="70">
        <v>0.5</v>
      </c>
      <c r="D34" s="27">
        <f t="shared" si="5"/>
        <v>0.5</v>
      </c>
      <c r="E34" s="28">
        <f t="shared" si="5"/>
        <v>0.5</v>
      </c>
      <c r="F34" s="28">
        <f t="shared" si="5"/>
        <v>0.5</v>
      </c>
      <c r="G34" s="28">
        <f t="shared" si="5"/>
        <v>0.5</v>
      </c>
      <c r="H34" s="28">
        <f t="shared" si="5"/>
        <v>0.5</v>
      </c>
      <c r="I34" s="29">
        <f t="shared" si="5"/>
        <v>0.5</v>
      </c>
      <c r="J34" s="28">
        <f>'delta GIRR 2'!D27</f>
        <v>0.96947508801495974</v>
      </c>
      <c r="K34" s="28">
        <f>'delta GIRR 2'!E27</f>
        <v>0.99900000000000011</v>
      </c>
      <c r="L34" s="28">
        <f>'delta GIRR 2'!F27</f>
        <v>0.96947508801495974</v>
      </c>
      <c r="M34" s="28">
        <f>'delta GIRR 2'!G27</f>
        <v>0.91301725408595702</v>
      </c>
      <c r="N34" s="28">
        <f>'delta GIRR 2'!H27</f>
        <v>0.8598472684486328</v>
      </c>
      <c r="O34" s="29">
        <f>'delta GIRR 2'!I27</f>
        <v>0.76261611484251635</v>
      </c>
      <c r="P34" s="28">
        <f>'delta GIRR 2'!J27</f>
        <v>0.97044553354850815</v>
      </c>
      <c r="Q34" s="28">
        <f>'delta GIRR 2'!K27</f>
        <v>1</v>
      </c>
      <c r="R34" s="28">
        <f>'delta GIRR 2'!L27</f>
        <v>0.97044553354850815</v>
      </c>
      <c r="S34" s="28">
        <f>'delta GIRR 2'!M27</f>
        <v>0.91393118527122819</v>
      </c>
      <c r="T34" s="28">
        <f>'delta GIRR 2'!N27</f>
        <v>0.86070797642505781</v>
      </c>
      <c r="U34" s="29">
        <f>'delta GIRR 2'!O27</f>
        <v>0.76337949433685315</v>
      </c>
    </row>
    <row r="35" spans="1:24" x14ac:dyDescent="0.25">
      <c r="A35" s="51" t="s">
        <v>26</v>
      </c>
      <c r="B35" s="18" t="s">
        <v>28</v>
      </c>
      <c r="C35" s="70">
        <v>1</v>
      </c>
      <c r="D35" s="27">
        <f t="shared" si="5"/>
        <v>0.5</v>
      </c>
      <c r="E35" s="28">
        <f t="shared" si="5"/>
        <v>0.5</v>
      </c>
      <c r="F35" s="28">
        <f t="shared" si="5"/>
        <v>0.5</v>
      </c>
      <c r="G35" s="28">
        <f t="shared" si="5"/>
        <v>0.5</v>
      </c>
      <c r="H35" s="28">
        <f t="shared" si="5"/>
        <v>0.5</v>
      </c>
      <c r="I35" s="29">
        <f t="shared" si="5"/>
        <v>0.5</v>
      </c>
      <c r="J35" s="28">
        <f>'delta GIRR 2'!D28</f>
        <v>0.91301725408595702</v>
      </c>
      <c r="K35" s="28">
        <f>'delta GIRR 2'!E28</f>
        <v>0.96947508801495974</v>
      </c>
      <c r="L35" s="28">
        <f>'delta GIRR 2'!F28</f>
        <v>0.99900000000000011</v>
      </c>
      <c r="M35" s="28">
        <f>'delta GIRR 2'!G28</f>
        <v>0.96947508801495974</v>
      </c>
      <c r="N35" s="28">
        <f>'delta GIRR 2'!H28</f>
        <v>0.94082276905066453</v>
      </c>
      <c r="O35" s="29">
        <f>'delta GIRR 2'!I28</f>
        <v>0.88603351628044047</v>
      </c>
      <c r="P35" s="28">
        <f>'delta GIRR 2'!J28</f>
        <v>0.91393118527122819</v>
      </c>
      <c r="Q35" s="28">
        <f>'delta GIRR 2'!K28</f>
        <v>0.97044553354850815</v>
      </c>
      <c r="R35" s="28">
        <f>'delta GIRR 2'!L28</f>
        <v>1</v>
      </c>
      <c r="S35" s="28">
        <f>'delta GIRR 2'!M28</f>
        <v>0.97044553354850815</v>
      </c>
      <c r="T35" s="28">
        <f>'delta GIRR 2'!N28</f>
        <v>0.94176453358424872</v>
      </c>
      <c r="U35" s="29">
        <f>'delta GIRR 2'!O28</f>
        <v>0.88692043671715748</v>
      </c>
    </row>
    <row r="36" spans="1:24" x14ac:dyDescent="0.25">
      <c r="A36" s="51" t="s">
        <v>26</v>
      </c>
      <c r="B36" s="18" t="s">
        <v>28</v>
      </c>
      <c r="C36" s="70">
        <v>2</v>
      </c>
      <c r="D36" s="27">
        <f t="shared" si="5"/>
        <v>0.5</v>
      </c>
      <c r="E36" s="28">
        <f t="shared" si="5"/>
        <v>0.5</v>
      </c>
      <c r="F36" s="28">
        <f t="shared" si="5"/>
        <v>0.5</v>
      </c>
      <c r="G36" s="28">
        <f t="shared" si="5"/>
        <v>0.5</v>
      </c>
      <c r="H36" s="28">
        <f t="shared" si="5"/>
        <v>0.5</v>
      </c>
      <c r="I36" s="29">
        <f t="shared" si="5"/>
        <v>0.5</v>
      </c>
      <c r="J36" s="28">
        <f>'delta GIRR 2'!D29</f>
        <v>0.80977366172421694</v>
      </c>
      <c r="K36" s="28">
        <f>'delta GIRR 2'!E29</f>
        <v>0.91301725408595702</v>
      </c>
      <c r="L36" s="28">
        <f>'delta GIRR 2'!F29</f>
        <v>0.96947508801495974</v>
      </c>
      <c r="M36" s="28">
        <f>'delta GIRR 2'!G29</f>
        <v>0.99900000000000011</v>
      </c>
      <c r="N36" s="28">
        <f>'delta GIRR 2'!H29</f>
        <v>0.98412682766345971</v>
      </c>
      <c r="O36" s="29">
        <f>'delta GIRR 2'!I29</f>
        <v>0.95504148435126701</v>
      </c>
      <c r="P36" s="28">
        <f>'delta GIRR 2'!J29</f>
        <v>0.81058424597018708</v>
      </c>
      <c r="Q36" s="28">
        <f>'delta GIRR 2'!K29</f>
        <v>0.91393118527122819</v>
      </c>
      <c r="R36" s="28">
        <f>'delta GIRR 2'!L29</f>
        <v>0.97044553354850815</v>
      </c>
      <c r="S36" s="28">
        <f>'delta GIRR 2'!M29</f>
        <v>1</v>
      </c>
      <c r="T36" s="28">
        <f>'delta GIRR 2'!N29</f>
        <v>0.98511193960306265</v>
      </c>
      <c r="U36" s="29">
        <f>'delta GIRR 2'!O29</f>
        <v>0.95599748183309996</v>
      </c>
    </row>
    <row r="37" spans="1:24" x14ac:dyDescent="0.25">
      <c r="A37" s="51" t="s">
        <v>26</v>
      </c>
      <c r="B37" s="18" t="s">
        <v>28</v>
      </c>
      <c r="C37" s="70">
        <v>3</v>
      </c>
      <c r="D37" s="27">
        <f t="shared" si="5"/>
        <v>0.5</v>
      </c>
      <c r="E37" s="28">
        <f t="shared" si="5"/>
        <v>0.5</v>
      </c>
      <c r="F37" s="28">
        <f t="shared" si="5"/>
        <v>0.5</v>
      </c>
      <c r="G37" s="28">
        <f t="shared" si="5"/>
        <v>0.5</v>
      </c>
      <c r="H37" s="28">
        <f t="shared" si="5"/>
        <v>0.5</v>
      </c>
      <c r="I37" s="29">
        <f t="shared" si="5"/>
        <v>0.5</v>
      </c>
      <c r="J37" s="28">
        <f>'delta GIRR 2'!D30</f>
        <v>0.71820480969849432</v>
      </c>
      <c r="K37" s="28">
        <f>'delta GIRR 2'!E30</f>
        <v>0.8598472684486328</v>
      </c>
      <c r="L37" s="28">
        <f>'delta GIRR 2'!F30</f>
        <v>0.94082276905066453</v>
      </c>
      <c r="M37" s="28">
        <f>'delta GIRR 2'!G30</f>
        <v>0.98412682766345971</v>
      </c>
      <c r="N37" s="28">
        <f>'delta GIRR 2'!H30</f>
        <v>0.99900000000000011</v>
      </c>
      <c r="O37" s="29">
        <f>'delta GIRR 2'!I30</f>
        <v>0.97921847463344858</v>
      </c>
      <c r="P37" s="28">
        <f>'delta GIRR 2'!J30</f>
        <v>0.71892373343192617</v>
      </c>
      <c r="Q37" s="28">
        <f>'delta GIRR 2'!K30</f>
        <v>0.86070797642505781</v>
      </c>
      <c r="R37" s="28">
        <f>'delta GIRR 2'!L30</f>
        <v>0.94176453358424872</v>
      </c>
      <c r="S37" s="28">
        <f>'delta GIRR 2'!M30</f>
        <v>0.98511193960306265</v>
      </c>
      <c r="T37" s="28">
        <f>'delta GIRR 2'!N30</f>
        <v>1</v>
      </c>
      <c r="U37" s="29">
        <f>'delta GIRR 2'!O30</f>
        <v>0.98019867330675525</v>
      </c>
    </row>
    <row r="38" spans="1:24" x14ac:dyDescent="0.25">
      <c r="A38" s="52" t="s">
        <v>26</v>
      </c>
      <c r="B38" s="19" t="s">
        <v>28</v>
      </c>
      <c r="C38" s="66">
        <v>5</v>
      </c>
      <c r="D38" s="30">
        <f t="shared" si="5"/>
        <v>0.5</v>
      </c>
      <c r="E38" s="31">
        <f t="shared" si="5"/>
        <v>0.5</v>
      </c>
      <c r="F38" s="31">
        <f t="shared" si="5"/>
        <v>0.5</v>
      </c>
      <c r="G38" s="31">
        <f t="shared" si="5"/>
        <v>0.5</v>
      </c>
      <c r="H38" s="31">
        <f t="shared" si="5"/>
        <v>0.5</v>
      </c>
      <c r="I38" s="32">
        <f t="shared" si="5"/>
        <v>0.5</v>
      </c>
      <c r="J38" s="31">
        <f>'delta GIRR 2'!D31</f>
        <v>0.56495991326083761</v>
      </c>
      <c r="K38" s="31">
        <f>'delta GIRR 2'!E31</f>
        <v>0.76261611484251635</v>
      </c>
      <c r="L38" s="31">
        <f>'delta GIRR 2'!F31</f>
        <v>0.88603351628044047</v>
      </c>
      <c r="M38" s="31">
        <f>'delta GIRR 2'!G31</f>
        <v>0.95504148435126701</v>
      </c>
      <c r="N38" s="31">
        <f>'delta GIRR 2'!H31</f>
        <v>0.97921847463344858</v>
      </c>
      <c r="O38" s="32">
        <f>'delta GIRR 2'!I31</f>
        <v>0.99900000000000011</v>
      </c>
      <c r="P38" s="31">
        <f>'delta GIRR 2'!J31</f>
        <v>0.56552543869953709</v>
      </c>
      <c r="Q38" s="31">
        <f>'delta GIRR 2'!K31</f>
        <v>0.76337949433685315</v>
      </c>
      <c r="R38" s="31">
        <f>'delta GIRR 2'!L31</f>
        <v>0.88692043671715748</v>
      </c>
      <c r="S38" s="31">
        <f>'delta GIRR 2'!M31</f>
        <v>0.95599748183309996</v>
      </c>
      <c r="T38" s="31">
        <f>'delta GIRR 2'!N31</f>
        <v>0.98019867330675525</v>
      </c>
      <c r="U38" s="32">
        <f>'delta GIRR 2'!O31</f>
        <v>1</v>
      </c>
    </row>
    <row r="40" spans="1:24" x14ac:dyDescent="0.25">
      <c r="A40" s="7" t="s">
        <v>21</v>
      </c>
      <c r="B40" s="1"/>
      <c r="D40" s="40">
        <f t="shared" ref="D40:I40" si="6">+D14</f>
        <v>120208.15280171306</v>
      </c>
      <c r="E40" s="41">
        <f t="shared" si="6"/>
        <v>120208.15280171306</v>
      </c>
      <c r="F40" s="41">
        <f t="shared" si="6"/>
        <v>113137.0849898476</v>
      </c>
      <c r="G40" s="41">
        <f t="shared" si="6"/>
        <v>91923.881554251173</v>
      </c>
      <c r="H40" s="41">
        <f t="shared" si="6"/>
        <v>84852.813742385697</v>
      </c>
      <c r="I40" s="42">
        <f t="shared" si="6"/>
        <v>77781.745930520221</v>
      </c>
      <c r="J40" s="41">
        <f t="shared" ref="J40:O40" si="7">+D15</f>
        <v>120208.15280171306</v>
      </c>
      <c r="K40" s="41">
        <f t="shared" si="7"/>
        <v>120208.15280171306</v>
      </c>
      <c r="L40" s="41">
        <f t="shared" si="7"/>
        <v>113137.0849898476</v>
      </c>
      <c r="M40" s="41">
        <f t="shared" si="7"/>
        <v>91923.881554251173</v>
      </c>
      <c r="N40" s="41">
        <f t="shared" si="7"/>
        <v>84852.813742385697</v>
      </c>
      <c r="O40" s="42">
        <f t="shared" si="7"/>
        <v>77781.745930520221</v>
      </c>
      <c r="P40" s="10">
        <f t="shared" ref="P40:U40" si="8">+D16</f>
        <v>120208.15280171306</v>
      </c>
      <c r="Q40" s="11">
        <f t="shared" si="8"/>
        <v>120208.15280171306</v>
      </c>
      <c r="R40" s="11">
        <f t="shared" si="8"/>
        <v>113137.0849898476</v>
      </c>
      <c r="S40" s="11">
        <f t="shared" si="8"/>
        <v>91923.881554251173</v>
      </c>
      <c r="T40" s="11">
        <f t="shared" si="8"/>
        <v>84852.813742385697</v>
      </c>
      <c r="U40" s="12">
        <f t="shared" si="8"/>
        <v>77781.745930520221</v>
      </c>
      <c r="V40" s="8"/>
      <c r="W40" s="8"/>
      <c r="X40" s="8"/>
    </row>
    <row r="41" spans="1:24" x14ac:dyDescent="0.25">
      <c r="A41" s="1"/>
      <c r="C41" s="20" t="s">
        <v>0</v>
      </c>
      <c r="D41" s="21" t="str">
        <f t="array" ref="D41:I41">+TRANSPOSE(B43:B48)</f>
        <v>1M</v>
      </c>
      <c r="E41" s="21" t="str">
        <v>1M</v>
      </c>
      <c r="F41" s="21" t="str">
        <v>1M</v>
      </c>
      <c r="G41" s="21" t="str">
        <v>1M</v>
      </c>
      <c r="H41" s="21" t="str">
        <v>1M</v>
      </c>
      <c r="I41" s="22" t="str">
        <v>1M</v>
      </c>
      <c r="J41" s="21" t="s">
        <v>3</v>
      </c>
      <c r="K41" s="21" t="s">
        <v>3</v>
      </c>
      <c r="L41" s="21" t="s">
        <v>3</v>
      </c>
      <c r="M41" s="21" t="s">
        <v>3</v>
      </c>
      <c r="N41" s="21" t="s">
        <v>3</v>
      </c>
      <c r="O41" s="22" t="s">
        <v>3</v>
      </c>
      <c r="P41" s="21" t="s">
        <v>28</v>
      </c>
      <c r="Q41" s="21" t="s">
        <v>28</v>
      </c>
      <c r="R41" s="21" t="s">
        <v>28</v>
      </c>
      <c r="S41" s="21" t="s">
        <v>28</v>
      </c>
      <c r="T41" s="21" t="s">
        <v>28</v>
      </c>
      <c r="U41" s="22" t="s">
        <v>28</v>
      </c>
    </row>
    <row r="42" spans="1:24" x14ac:dyDescent="0.25">
      <c r="B42" s="17" t="s">
        <v>0</v>
      </c>
      <c r="C42" s="66" t="s">
        <v>1</v>
      </c>
      <c r="D42" s="67">
        <f t="array" ref="D42:I42">+TRANSPOSE(C43:C48)</f>
        <v>0.25</v>
      </c>
      <c r="E42" s="67">
        <v>0.5</v>
      </c>
      <c r="F42" s="67">
        <v>1</v>
      </c>
      <c r="G42" s="67">
        <v>2</v>
      </c>
      <c r="H42" s="67">
        <v>3</v>
      </c>
      <c r="I42" s="68">
        <v>5</v>
      </c>
      <c r="J42" s="67">
        <v>0.25</v>
      </c>
      <c r="K42" s="67">
        <v>0.5</v>
      </c>
      <c r="L42" s="67">
        <v>1</v>
      </c>
      <c r="M42" s="67">
        <v>2</v>
      </c>
      <c r="N42" s="67">
        <v>3</v>
      </c>
      <c r="O42" s="68">
        <v>5</v>
      </c>
      <c r="P42" s="67">
        <v>0.25</v>
      </c>
      <c r="Q42" s="67">
        <v>0.5</v>
      </c>
      <c r="R42" s="67">
        <v>1</v>
      </c>
      <c r="S42" s="67">
        <v>2</v>
      </c>
      <c r="T42" s="67">
        <v>3</v>
      </c>
      <c r="U42" s="68">
        <v>5</v>
      </c>
    </row>
    <row r="43" spans="1:24" x14ac:dyDescent="0.25">
      <c r="A43" s="43">
        <f t="array" ref="A43:A60">+TRANSPOSE(D40:U40)</f>
        <v>120208.15280171306</v>
      </c>
      <c r="B43" s="18" t="s">
        <v>2</v>
      </c>
      <c r="C43" s="69">
        <v>0.25</v>
      </c>
      <c r="D43" s="78">
        <f>+$A43*D$40</f>
        <v>14449999999.999996</v>
      </c>
      <c r="E43" s="79">
        <f t="shared" ref="E43:T54" si="9">+$A43*E$40</f>
        <v>14449999999.999996</v>
      </c>
      <c r="F43" s="79">
        <f t="shared" si="9"/>
        <v>13599999999.999998</v>
      </c>
      <c r="G43" s="79">
        <f t="shared" si="9"/>
        <v>11049999999.999998</v>
      </c>
      <c r="H43" s="79">
        <f t="shared" si="9"/>
        <v>10199999999.999998</v>
      </c>
      <c r="I43" s="80">
        <f t="shared" si="9"/>
        <v>9349999999.9999981</v>
      </c>
      <c r="J43" s="79">
        <f t="shared" si="9"/>
        <v>14449999999.999996</v>
      </c>
      <c r="K43" s="79">
        <f t="shared" si="9"/>
        <v>14449999999.999996</v>
      </c>
      <c r="L43" s="79">
        <f t="shared" si="9"/>
        <v>13599999999.999998</v>
      </c>
      <c r="M43" s="79">
        <f t="shared" si="9"/>
        <v>11049999999.999998</v>
      </c>
      <c r="N43" s="79">
        <f t="shared" si="9"/>
        <v>10199999999.999998</v>
      </c>
      <c r="O43" s="80">
        <f t="shared" si="9"/>
        <v>9349999999.9999981</v>
      </c>
      <c r="P43" s="79">
        <f t="shared" si="9"/>
        <v>14449999999.999996</v>
      </c>
      <c r="Q43" s="79">
        <f t="shared" si="9"/>
        <v>14449999999.999996</v>
      </c>
      <c r="R43" s="79">
        <f t="shared" si="9"/>
        <v>13599999999.999998</v>
      </c>
      <c r="S43" s="79">
        <f t="shared" si="9"/>
        <v>11049999999.999998</v>
      </c>
      <c r="T43" s="79">
        <f t="shared" si="9"/>
        <v>10199999999.999998</v>
      </c>
      <c r="U43" s="80">
        <f t="shared" ref="P43:U60" si="10">+$A43*U$40</f>
        <v>9349999999.9999981</v>
      </c>
    </row>
    <row r="44" spans="1:24" x14ac:dyDescent="0.25">
      <c r="A44" s="44">
        <v>120208.15280171306</v>
      </c>
      <c r="B44" s="18" t="s">
        <v>2</v>
      </c>
      <c r="C44" s="70">
        <v>0.5</v>
      </c>
      <c r="D44" s="81">
        <f t="shared" ref="D44:O59" si="11">+$A44*D$40</f>
        <v>14449999999.999996</v>
      </c>
      <c r="E44" s="82">
        <f t="shared" si="9"/>
        <v>14449999999.999996</v>
      </c>
      <c r="F44" s="82">
        <f t="shared" si="9"/>
        <v>13599999999.999998</v>
      </c>
      <c r="G44" s="82">
        <f t="shared" si="9"/>
        <v>11049999999.999998</v>
      </c>
      <c r="H44" s="82">
        <f t="shared" si="9"/>
        <v>10199999999.999998</v>
      </c>
      <c r="I44" s="83">
        <f t="shared" si="9"/>
        <v>9349999999.9999981</v>
      </c>
      <c r="J44" s="82">
        <f t="shared" si="9"/>
        <v>14449999999.999996</v>
      </c>
      <c r="K44" s="82">
        <f t="shared" si="9"/>
        <v>14449999999.999996</v>
      </c>
      <c r="L44" s="82">
        <f t="shared" si="9"/>
        <v>13599999999.999998</v>
      </c>
      <c r="M44" s="82">
        <f t="shared" si="9"/>
        <v>11049999999.999998</v>
      </c>
      <c r="N44" s="82">
        <f t="shared" si="9"/>
        <v>10199999999.999998</v>
      </c>
      <c r="O44" s="83">
        <f t="shared" si="9"/>
        <v>9349999999.9999981</v>
      </c>
      <c r="P44" s="82">
        <f t="shared" si="10"/>
        <v>14449999999.999996</v>
      </c>
      <c r="Q44" s="82">
        <f t="shared" si="10"/>
        <v>14449999999.999996</v>
      </c>
      <c r="R44" s="82">
        <f t="shared" si="10"/>
        <v>13599999999.999998</v>
      </c>
      <c r="S44" s="82">
        <f t="shared" si="10"/>
        <v>11049999999.999998</v>
      </c>
      <c r="T44" s="82">
        <f t="shared" si="10"/>
        <v>10199999999.999998</v>
      </c>
      <c r="U44" s="83">
        <f t="shared" si="10"/>
        <v>9349999999.9999981</v>
      </c>
    </row>
    <row r="45" spans="1:24" x14ac:dyDescent="0.25">
      <c r="A45" s="44">
        <v>113137.0849898476</v>
      </c>
      <c r="B45" s="18" t="s">
        <v>2</v>
      </c>
      <c r="C45" s="70">
        <v>1</v>
      </c>
      <c r="D45" s="81">
        <f t="shared" si="11"/>
        <v>13599999999.999998</v>
      </c>
      <c r="E45" s="82">
        <f t="shared" si="9"/>
        <v>13599999999.999998</v>
      </c>
      <c r="F45" s="82">
        <f t="shared" si="9"/>
        <v>12800000000</v>
      </c>
      <c r="G45" s="82">
        <f t="shared" si="9"/>
        <v>10400000000</v>
      </c>
      <c r="H45" s="82">
        <f t="shared" si="9"/>
        <v>9600000000</v>
      </c>
      <c r="I45" s="83">
        <f t="shared" si="9"/>
        <v>8799999999.9999981</v>
      </c>
      <c r="J45" s="82">
        <f t="shared" si="9"/>
        <v>13599999999.999998</v>
      </c>
      <c r="K45" s="82">
        <f t="shared" si="9"/>
        <v>13599999999.999998</v>
      </c>
      <c r="L45" s="82">
        <f t="shared" si="9"/>
        <v>12800000000</v>
      </c>
      <c r="M45" s="82">
        <f t="shared" si="9"/>
        <v>10400000000</v>
      </c>
      <c r="N45" s="82">
        <f t="shared" si="9"/>
        <v>9600000000</v>
      </c>
      <c r="O45" s="83">
        <f t="shared" si="9"/>
        <v>8799999999.9999981</v>
      </c>
      <c r="P45" s="82">
        <f t="shared" si="10"/>
        <v>13599999999.999998</v>
      </c>
      <c r="Q45" s="82">
        <f t="shared" si="10"/>
        <v>13599999999.999998</v>
      </c>
      <c r="R45" s="82">
        <f t="shared" si="10"/>
        <v>12800000000</v>
      </c>
      <c r="S45" s="82">
        <f t="shared" si="10"/>
        <v>10400000000</v>
      </c>
      <c r="T45" s="82">
        <f t="shared" si="10"/>
        <v>9600000000</v>
      </c>
      <c r="U45" s="83">
        <f t="shared" si="10"/>
        <v>8799999999.9999981</v>
      </c>
    </row>
    <row r="46" spans="1:24" x14ac:dyDescent="0.25">
      <c r="A46" s="44">
        <v>91923.881554251173</v>
      </c>
      <c r="B46" s="18" t="s">
        <v>2</v>
      </c>
      <c r="C46" s="70">
        <v>2</v>
      </c>
      <c r="D46" s="81">
        <f t="shared" si="11"/>
        <v>11049999999.999998</v>
      </c>
      <c r="E46" s="82">
        <f t="shared" si="9"/>
        <v>11049999999.999998</v>
      </c>
      <c r="F46" s="82">
        <f t="shared" si="9"/>
        <v>10400000000</v>
      </c>
      <c r="G46" s="82">
        <f t="shared" si="9"/>
        <v>8449999999.999999</v>
      </c>
      <c r="H46" s="82">
        <f t="shared" si="9"/>
        <v>7799999999.999999</v>
      </c>
      <c r="I46" s="83">
        <f t="shared" si="9"/>
        <v>7149999999.999999</v>
      </c>
      <c r="J46" s="82">
        <f t="shared" si="9"/>
        <v>11049999999.999998</v>
      </c>
      <c r="K46" s="82">
        <f t="shared" si="9"/>
        <v>11049999999.999998</v>
      </c>
      <c r="L46" s="82">
        <f t="shared" si="9"/>
        <v>10400000000</v>
      </c>
      <c r="M46" s="82">
        <f t="shared" si="9"/>
        <v>8449999999.999999</v>
      </c>
      <c r="N46" s="82">
        <f t="shared" si="9"/>
        <v>7799999999.999999</v>
      </c>
      <c r="O46" s="83">
        <f t="shared" si="9"/>
        <v>7149999999.999999</v>
      </c>
      <c r="P46" s="82">
        <f t="shared" si="10"/>
        <v>11049999999.999998</v>
      </c>
      <c r="Q46" s="82">
        <f t="shared" si="10"/>
        <v>11049999999.999998</v>
      </c>
      <c r="R46" s="82">
        <f t="shared" si="10"/>
        <v>10400000000</v>
      </c>
      <c r="S46" s="82">
        <f t="shared" si="10"/>
        <v>8449999999.999999</v>
      </c>
      <c r="T46" s="82">
        <f t="shared" si="10"/>
        <v>7799999999.999999</v>
      </c>
      <c r="U46" s="83">
        <f t="shared" si="10"/>
        <v>7149999999.999999</v>
      </c>
    </row>
    <row r="47" spans="1:24" x14ac:dyDescent="0.25">
      <c r="A47" s="44">
        <v>84852.813742385697</v>
      </c>
      <c r="B47" s="18" t="s">
        <v>2</v>
      </c>
      <c r="C47" s="70">
        <v>3</v>
      </c>
      <c r="D47" s="81">
        <f t="shared" si="11"/>
        <v>10199999999.999998</v>
      </c>
      <c r="E47" s="82">
        <f t="shared" si="9"/>
        <v>10199999999.999998</v>
      </c>
      <c r="F47" s="82">
        <f t="shared" si="9"/>
        <v>9600000000</v>
      </c>
      <c r="G47" s="82">
        <f t="shared" si="9"/>
        <v>7799999999.999999</v>
      </c>
      <c r="H47" s="82">
        <f t="shared" si="9"/>
        <v>7199999999.999999</v>
      </c>
      <c r="I47" s="83">
        <f t="shared" si="9"/>
        <v>6599999999.999999</v>
      </c>
      <c r="J47" s="82">
        <f t="shared" si="9"/>
        <v>10199999999.999998</v>
      </c>
      <c r="K47" s="82">
        <f t="shared" si="9"/>
        <v>10199999999.999998</v>
      </c>
      <c r="L47" s="82">
        <f t="shared" si="9"/>
        <v>9600000000</v>
      </c>
      <c r="M47" s="82">
        <f t="shared" si="9"/>
        <v>7799999999.999999</v>
      </c>
      <c r="N47" s="82">
        <f t="shared" si="9"/>
        <v>7199999999.999999</v>
      </c>
      <c r="O47" s="83">
        <f t="shared" si="9"/>
        <v>6599999999.999999</v>
      </c>
      <c r="P47" s="82">
        <f t="shared" si="10"/>
        <v>10199999999.999998</v>
      </c>
      <c r="Q47" s="82">
        <f t="shared" si="10"/>
        <v>10199999999.999998</v>
      </c>
      <c r="R47" s="82">
        <f t="shared" si="10"/>
        <v>9600000000</v>
      </c>
      <c r="S47" s="82">
        <f t="shared" si="10"/>
        <v>7799999999.999999</v>
      </c>
      <c r="T47" s="82">
        <f t="shared" si="10"/>
        <v>7199999999.999999</v>
      </c>
      <c r="U47" s="83">
        <f t="shared" si="10"/>
        <v>6599999999.999999</v>
      </c>
    </row>
    <row r="48" spans="1:24" x14ac:dyDescent="0.25">
      <c r="A48" s="45">
        <v>77781.745930520221</v>
      </c>
      <c r="B48" s="19" t="s">
        <v>2</v>
      </c>
      <c r="C48" s="66">
        <v>5</v>
      </c>
      <c r="D48" s="84">
        <f t="shared" si="11"/>
        <v>9349999999.9999981</v>
      </c>
      <c r="E48" s="85">
        <f t="shared" si="9"/>
        <v>9349999999.9999981</v>
      </c>
      <c r="F48" s="85">
        <f t="shared" si="9"/>
        <v>8799999999.9999981</v>
      </c>
      <c r="G48" s="85">
        <f t="shared" si="9"/>
        <v>7149999999.999999</v>
      </c>
      <c r="H48" s="85">
        <f t="shared" si="9"/>
        <v>6599999999.999999</v>
      </c>
      <c r="I48" s="86">
        <f t="shared" si="9"/>
        <v>6049999999.999999</v>
      </c>
      <c r="J48" s="85">
        <f t="shared" si="9"/>
        <v>9349999999.9999981</v>
      </c>
      <c r="K48" s="85">
        <f t="shared" si="9"/>
        <v>9349999999.9999981</v>
      </c>
      <c r="L48" s="85">
        <f t="shared" si="9"/>
        <v>8799999999.9999981</v>
      </c>
      <c r="M48" s="85">
        <f t="shared" si="9"/>
        <v>7149999999.999999</v>
      </c>
      <c r="N48" s="85">
        <f t="shared" si="9"/>
        <v>6599999999.999999</v>
      </c>
      <c r="O48" s="86">
        <f t="shared" si="9"/>
        <v>6049999999.999999</v>
      </c>
      <c r="P48" s="85">
        <f t="shared" si="10"/>
        <v>9349999999.9999981</v>
      </c>
      <c r="Q48" s="85">
        <f t="shared" si="10"/>
        <v>9349999999.9999981</v>
      </c>
      <c r="R48" s="85">
        <f t="shared" si="10"/>
        <v>8799999999.9999981</v>
      </c>
      <c r="S48" s="85">
        <f t="shared" si="10"/>
        <v>7149999999.999999</v>
      </c>
      <c r="T48" s="85">
        <f t="shared" si="10"/>
        <v>6599999999.999999</v>
      </c>
      <c r="U48" s="86">
        <f t="shared" si="10"/>
        <v>6049999999.999999</v>
      </c>
    </row>
    <row r="49" spans="1:21" x14ac:dyDescent="0.25">
      <c r="A49" s="44">
        <v>120208.15280171306</v>
      </c>
      <c r="B49" s="18" t="s">
        <v>3</v>
      </c>
      <c r="C49" s="69">
        <v>0.25</v>
      </c>
      <c r="D49" s="81">
        <f t="shared" si="11"/>
        <v>14449999999.999996</v>
      </c>
      <c r="E49" s="82">
        <f t="shared" si="9"/>
        <v>14449999999.999996</v>
      </c>
      <c r="F49" s="82">
        <f t="shared" si="9"/>
        <v>13599999999.999998</v>
      </c>
      <c r="G49" s="82">
        <f t="shared" si="9"/>
        <v>11049999999.999998</v>
      </c>
      <c r="H49" s="82">
        <f t="shared" si="9"/>
        <v>10199999999.999998</v>
      </c>
      <c r="I49" s="83">
        <f t="shared" si="9"/>
        <v>9349999999.9999981</v>
      </c>
      <c r="J49" s="82">
        <f t="shared" si="9"/>
        <v>14449999999.999996</v>
      </c>
      <c r="K49" s="82">
        <f t="shared" si="9"/>
        <v>14449999999.999996</v>
      </c>
      <c r="L49" s="82">
        <f t="shared" si="9"/>
        <v>13599999999.999998</v>
      </c>
      <c r="M49" s="82">
        <f t="shared" si="9"/>
        <v>11049999999.999998</v>
      </c>
      <c r="N49" s="82">
        <f t="shared" si="9"/>
        <v>10199999999.999998</v>
      </c>
      <c r="O49" s="83">
        <f t="shared" si="9"/>
        <v>9349999999.9999981</v>
      </c>
      <c r="P49" s="82">
        <f t="shared" si="10"/>
        <v>14449999999.999996</v>
      </c>
      <c r="Q49" s="82">
        <f t="shared" si="10"/>
        <v>14449999999.999996</v>
      </c>
      <c r="R49" s="82">
        <f t="shared" si="10"/>
        <v>13599999999.999998</v>
      </c>
      <c r="S49" s="82">
        <f t="shared" si="10"/>
        <v>11049999999.999998</v>
      </c>
      <c r="T49" s="82">
        <f t="shared" si="10"/>
        <v>10199999999.999998</v>
      </c>
      <c r="U49" s="83">
        <f t="shared" si="10"/>
        <v>9349999999.9999981</v>
      </c>
    </row>
    <row r="50" spans="1:21" x14ac:dyDescent="0.25">
      <c r="A50" s="44">
        <v>120208.15280171306</v>
      </c>
      <c r="B50" s="18" t="s">
        <v>3</v>
      </c>
      <c r="C50" s="70">
        <v>0.5</v>
      </c>
      <c r="D50" s="81">
        <f t="shared" si="11"/>
        <v>14449999999.999996</v>
      </c>
      <c r="E50" s="82">
        <f t="shared" si="9"/>
        <v>14449999999.999996</v>
      </c>
      <c r="F50" s="82">
        <f t="shared" si="9"/>
        <v>13599999999.999998</v>
      </c>
      <c r="G50" s="82">
        <f t="shared" si="9"/>
        <v>11049999999.999998</v>
      </c>
      <c r="H50" s="82">
        <f t="shared" si="9"/>
        <v>10199999999.999998</v>
      </c>
      <c r="I50" s="83">
        <f t="shared" si="9"/>
        <v>9349999999.9999981</v>
      </c>
      <c r="J50" s="82">
        <f t="shared" si="9"/>
        <v>14449999999.999996</v>
      </c>
      <c r="K50" s="82">
        <f t="shared" si="9"/>
        <v>14449999999.999996</v>
      </c>
      <c r="L50" s="82">
        <f t="shared" si="9"/>
        <v>13599999999.999998</v>
      </c>
      <c r="M50" s="82">
        <f t="shared" si="9"/>
        <v>11049999999.999998</v>
      </c>
      <c r="N50" s="82">
        <f t="shared" si="9"/>
        <v>10199999999.999998</v>
      </c>
      <c r="O50" s="83">
        <f t="shared" si="9"/>
        <v>9349999999.9999981</v>
      </c>
      <c r="P50" s="82">
        <f t="shared" si="10"/>
        <v>14449999999.999996</v>
      </c>
      <c r="Q50" s="82">
        <f t="shared" si="10"/>
        <v>14449999999.999996</v>
      </c>
      <c r="R50" s="82">
        <f t="shared" si="10"/>
        <v>13599999999.999998</v>
      </c>
      <c r="S50" s="82">
        <f t="shared" si="10"/>
        <v>11049999999.999998</v>
      </c>
      <c r="T50" s="82">
        <f t="shared" si="10"/>
        <v>10199999999.999998</v>
      </c>
      <c r="U50" s="83">
        <f t="shared" si="10"/>
        <v>9349999999.9999981</v>
      </c>
    </row>
    <row r="51" spans="1:21" x14ac:dyDescent="0.25">
      <c r="A51" s="44">
        <v>113137.0849898476</v>
      </c>
      <c r="B51" s="18" t="s">
        <v>3</v>
      </c>
      <c r="C51" s="70">
        <v>1</v>
      </c>
      <c r="D51" s="81">
        <f t="shared" si="11"/>
        <v>13599999999.999998</v>
      </c>
      <c r="E51" s="82">
        <f t="shared" si="9"/>
        <v>13599999999.999998</v>
      </c>
      <c r="F51" s="82">
        <f t="shared" si="9"/>
        <v>12800000000</v>
      </c>
      <c r="G51" s="82">
        <f t="shared" si="9"/>
        <v>10400000000</v>
      </c>
      <c r="H51" s="82">
        <f t="shared" si="9"/>
        <v>9600000000</v>
      </c>
      <c r="I51" s="83">
        <f t="shared" si="9"/>
        <v>8799999999.9999981</v>
      </c>
      <c r="J51" s="82">
        <f t="shared" si="9"/>
        <v>13599999999.999998</v>
      </c>
      <c r="K51" s="82">
        <f t="shared" si="9"/>
        <v>13599999999.999998</v>
      </c>
      <c r="L51" s="82">
        <f t="shared" si="9"/>
        <v>12800000000</v>
      </c>
      <c r="M51" s="82">
        <f t="shared" si="9"/>
        <v>10400000000</v>
      </c>
      <c r="N51" s="82">
        <f t="shared" si="9"/>
        <v>9600000000</v>
      </c>
      <c r="O51" s="83">
        <f t="shared" si="9"/>
        <v>8799999999.9999981</v>
      </c>
      <c r="P51" s="82">
        <f t="shared" si="10"/>
        <v>13599999999.999998</v>
      </c>
      <c r="Q51" s="82">
        <f t="shared" si="10"/>
        <v>13599999999.999998</v>
      </c>
      <c r="R51" s="82">
        <f t="shared" si="10"/>
        <v>12800000000</v>
      </c>
      <c r="S51" s="82">
        <f t="shared" si="10"/>
        <v>10400000000</v>
      </c>
      <c r="T51" s="82">
        <f t="shared" si="10"/>
        <v>9600000000</v>
      </c>
      <c r="U51" s="83">
        <f t="shared" si="10"/>
        <v>8799999999.9999981</v>
      </c>
    </row>
    <row r="52" spans="1:21" x14ac:dyDescent="0.25">
      <c r="A52" s="44">
        <v>91923.881554251173</v>
      </c>
      <c r="B52" s="18" t="s">
        <v>3</v>
      </c>
      <c r="C52" s="70">
        <v>2</v>
      </c>
      <c r="D52" s="81">
        <f t="shared" si="11"/>
        <v>11049999999.999998</v>
      </c>
      <c r="E52" s="82">
        <f t="shared" si="9"/>
        <v>11049999999.999998</v>
      </c>
      <c r="F52" s="82">
        <f t="shared" si="9"/>
        <v>10400000000</v>
      </c>
      <c r="G52" s="82">
        <f t="shared" si="9"/>
        <v>8449999999.999999</v>
      </c>
      <c r="H52" s="82">
        <f t="shared" si="9"/>
        <v>7799999999.999999</v>
      </c>
      <c r="I52" s="83">
        <f t="shared" si="9"/>
        <v>7149999999.999999</v>
      </c>
      <c r="J52" s="82">
        <f t="shared" si="9"/>
        <v>11049999999.999998</v>
      </c>
      <c r="K52" s="82">
        <f t="shared" si="9"/>
        <v>11049999999.999998</v>
      </c>
      <c r="L52" s="82">
        <f t="shared" si="9"/>
        <v>10400000000</v>
      </c>
      <c r="M52" s="82">
        <f t="shared" si="9"/>
        <v>8449999999.999999</v>
      </c>
      <c r="N52" s="82">
        <f t="shared" si="9"/>
        <v>7799999999.999999</v>
      </c>
      <c r="O52" s="83">
        <f t="shared" si="9"/>
        <v>7149999999.999999</v>
      </c>
      <c r="P52" s="82">
        <f t="shared" si="10"/>
        <v>11049999999.999998</v>
      </c>
      <c r="Q52" s="82">
        <f t="shared" si="10"/>
        <v>11049999999.999998</v>
      </c>
      <c r="R52" s="82">
        <f t="shared" si="10"/>
        <v>10400000000</v>
      </c>
      <c r="S52" s="82">
        <f t="shared" si="10"/>
        <v>8449999999.999999</v>
      </c>
      <c r="T52" s="82">
        <f t="shared" si="10"/>
        <v>7799999999.999999</v>
      </c>
      <c r="U52" s="83">
        <f t="shared" si="10"/>
        <v>7149999999.999999</v>
      </c>
    </row>
    <row r="53" spans="1:21" x14ac:dyDescent="0.25">
      <c r="A53" s="44">
        <v>84852.813742385697</v>
      </c>
      <c r="B53" s="18" t="s">
        <v>3</v>
      </c>
      <c r="C53" s="70">
        <v>3</v>
      </c>
      <c r="D53" s="81">
        <f t="shared" si="11"/>
        <v>10199999999.999998</v>
      </c>
      <c r="E53" s="82">
        <f t="shared" si="9"/>
        <v>10199999999.999998</v>
      </c>
      <c r="F53" s="82">
        <f t="shared" si="9"/>
        <v>9600000000</v>
      </c>
      <c r="G53" s="82">
        <f t="shared" si="9"/>
        <v>7799999999.999999</v>
      </c>
      <c r="H53" s="82">
        <f t="shared" si="9"/>
        <v>7199999999.999999</v>
      </c>
      <c r="I53" s="83">
        <f t="shared" si="9"/>
        <v>6599999999.999999</v>
      </c>
      <c r="J53" s="82">
        <f t="shared" si="9"/>
        <v>10199999999.999998</v>
      </c>
      <c r="K53" s="82">
        <f t="shared" si="9"/>
        <v>10199999999.999998</v>
      </c>
      <c r="L53" s="82">
        <f t="shared" si="9"/>
        <v>9600000000</v>
      </c>
      <c r="M53" s="82">
        <f t="shared" si="9"/>
        <v>7799999999.999999</v>
      </c>
      <c r="N53" s="82">
        <f t="shared" si="9"/>
        <v>7199999999.999999</v>
      </c>
      <c r="O53" s="83">
        <f t="shared" si="9"/>
        <v>6599999999.999999</v>
      </c>
      <c r="P53" s="82">
        <f t="shared" si="10"/>
        <v>10199999999.999998</v>
      </c>
      <c r="Q53" s="82">
        <f t="shared" si="10"/>
        <v>10199999999.999998</v>
      </c>
      <c r="R53" s="82">
        <f t="shared" si="10"/>
        <v>9600000000</v>
      </c>
      <c r="S53" s="82">
        <f t="shared" si="10"/>
        <v>7799999999.999999</v>
      </c>
      <c r="T53" s="82">
        <f t="shared" si="10"/>
        <v>7199999999.999999</v>
      </c>
      <c r="U53" s="83">
        <f t="shared" si="10"/>
        <v>6599999999.999999</v>
      </c>
    </row>
    <row r="54" spans="1:21" x14ac:dyDescent="0.25">
      <c r="A54" s="45">
        <v>77781.745930520221</v>
      </c>
      <c r="B54" s="19" t="s">
        <v>3</v>
      </c>
      <c r="C54" s="66">
        <v>5</v>
      </c>
      <c r="D54" s="84">
        <f t="shared" si="11"/>
        <v>9349999999.9999981</v>
      </c>
      <c r="E54" s="85">
        <f t="shared" si="9"/>
        <v>9349999999.9999981</v>
      </c>
      <c r="F54" s="85">
        <f t="shared" si="9"/>
        <v>8799999999.9999981</v>
      </c>
      <c r="G54" s="85">
        <f t="shared" si="9"/>
        <v>7149999999.999999</v>
      </c>
      <c r="H54" s="85">
        <f t="shared" si="9"/>
        <v>6599999999.999999</v>
      </c>
      <c r="I54" s="86">
        <f t="shared" si="9"/>
        <v>6049999999.999999</v>
      </c>
      <c r="J54" s="85">
        <f t="shared" si="9"/>
        <v>9349999999.9999981</v>
      </c>
      <c r="K54" s="85">
        <f t="shared" si="9"/>
        <v>9349999999.9999981</v>
      </c>
      <c r="L54" s="85">
        <f t="shared" si="9"/>
        <v>8799999999.9999981</v>
      </c>
      <c r="M54" s="85">
        <f t="shared" si="9"/>
        <v>7149999999.999999</v>
      </c>
      <c r="N54" s="85">
        <f t="shared" si="9"/>
        <v>6599999999.999999</v>
      </c>
      <c r="O54" s="86">
        <f t="shared" si="9"/>
        <v>6049999999.999999</v>
      </c>
      <c r="P54" s="85">
        <f t="shared" si="10"/>
        <v>9349999999.9999981</v>
      </c>
      <c r="Q54" s="85">
        <f t="shared" si="10"/>
        <v>9349999999.9999981</v>
      </c>
      <c r="R54" s="85">
        <f t="shared" si="10"/>
        <v>8799999999.9999981</v>
      </c>
      <c r="S54" s="85">
        <f t="shared" si="10"/>
        <v>7149999999.999999</v>
      </c>
      <c r="T54" s="85">
        <f t="shared" si="10"/>
        <v>6599999999.999999</v>
      </c>
      <c r="U54" s="86">
        <f t="shared" si="10"/>
        <v>6049999999.999999</v>
      </c>
    </row>
    <row r="55" spans="1:21" x14ac:dyDescent="0.25">
      <c r="A55" s="44">
        <v>120208.15280171306</v>
      </c>
      <c r="B55" s="18" t="s">
        <v>28</v>
      </c>
      <c r="C55" s="69">
        <v>0.25</v>
      </c>
      <c r="D55" s="81">
        <f t="shared" si="11"/>
        <v>14449999999.999996</v>
      </c>
      <c r="E55" s="82">
        <f t="shared" si="11"/>
        <v>14449999999.999996</v>
      </c>
      <c r="F55" s="82">
        <f t="shared" si="11"/>
        <v>13599999999.999998</v>
      </c>
      <c r="G55" s="82">
        <f t="shared" si="11"/>
        <v>11049999999.999998</v>
      </c>
      <c r="H55" s="82">
        <f t="shared" si="11"/>
        <v>10199999999.999998</v>
      </c>
      <c r="I55" s="83">
        <f t="shared" si="11"/>
        <v>9349999999.9999981</v>
      </c>
      <c r="J55" s="82">
        <f t="shared" si="11"/>
        <v>14449999999.999996</v>
      </c>
      <c r="K55" s="82">
        <f t="shared" si="11"/>
        <v>14449999999.999996</v>
      </c>
      <c r="L55" s="82">
        <f t="shared" si="11"/>
        <v>13599999999.999998</v>
      </c>
      <c r="M55" s="82">
        <f t="shared" si="11"/>
        <v>11049999999.999998</v>
      </c>
      <c r="N55" s="82">
        <f t="shared" si="11"/>
        <v>10199999999.999998</v>
      </c>
      <c r="O55" s="83">
        <f t="shared" si="11"/>
        <v>9349999999.9999981</v>
      </c>
      <c r="P55" s="82">
        <f t="shared" si="10"/>
        <v>14449999999.999996</v>
      </c>
      <c r="Q55" s="82">
        <f t="shared" si="10"/>
        <v>14449999999.999996</v>
      </c>
      <c r="R55" s="82">
        <f t="shared" si="10"/>
        <v>13599999999.999998</v>
      </c>
      <c r="S55" s="82">
        <f t="shared" si="10"/>
        <v>11049999999.999998</v>
      </c>
      <c r="T55" s="82">
        <f t="shared" si="10"/>
        <v>10199999999.999998</v>
      </c>
      <c r="U55" s="83">
        <f t="shared" si="10"/>
        <v>9349999999.9999981</v>
      </c>
    </row>
    <row r="56" spans="1:21" x14ac:dyDescent="0.25">
      <c r="A56" s="44">
        <v>120208.15280171306</v>
      </c>
      <c r="B56" s="18" t="s">
        <v>28</v>
      </c>
      <c r="C56" s="70">
        <v>0.5</v>
      </c>
      <c r="D56" s="81">
        <f t="shared" si="11"/>
        <v>14449999999.999996</v>
      </c>
      <c r="E56" s="82">
        <f t="shared" si="11"/>
        <v>14449999999.999996</v>
      </c>
      <c r="F56" s="82">
        <f t="shared" si="11"/>
        <v>13599999999.999998</v>
      </c>
      <c r="G56" s="82">
        <f t="shared" si="11"/>
        <v>11049999999.999998</v>
      </c>
      <c r="H56" s="82">
        <f t="shared" si="11"/>
        <v>10199999999.999998</v>
      </c>
      <c r="I56" s="83">
        <f t="shared" si="11"/>
        <v>9349999999.9999981</v>
      </c>
      <c r="J56" s="82">
        <f t="shared" si="11"/>
        <v>14449999999.999996</v>
      </c>
      <c r="K56" s="82">
        <f t="shared" si="11"/>
        <v>14449999999.999996</v>
      </c>
      <c r="L56" s="82">
        <f t="shared" si="11"/>
        <v>13599999999.999998</v>
      </c>
      <c r="M56" s="82">
        <f t="shared" si="11"/>
        <v>11049999999.999998</v>
      </c>
      <c r="N56" s="82">
        <f t="shared" si="11"/>
        <v>10199999999.999998</v>
      </c>
      <c r="O56" s="83">
        <f t="shared" si="11"/>
        <v>9349999999.9999981</v>
      </c>
      <c r="P56" s="82">
        <f t="shared" si="10"/>
        <v>14449999999.999996</v>
      </c>
      <c r="Q56" s="82">
        <f t="shared" si="10"/>
        <v>14449999999.999996</v>
      </c>
      <c r="R56" s="82">
        <f t="shared" si="10"/>
        <v>13599999999.999998</v>
      </c>
      <c r="S56" s="82">
        <f t="shared" si="10"/>
        <v>11049999999.999998</v>
      </c>
      <c r="T56" s="82">
        <f t="shared" si="10"/>
        <v>10199999999.999998</v>
      </c>
      <c r="U56" s="83">
        <f t="shared" si="10"/>
        <v>9349999999.9999981</v>
      </c>
    </row>
    <row r="57" spans="1:21" x14ac:dyDescent="0.25">
      <c r="A57" s="44">
        <v>113137.0849898476</v>
      </c>
      <c r="B57" s="18" t="s">
        <v>28</v>
      </c>
      <c r="C57" s="70">
        <v>1</v>
      </c>
      <c r="D57" s="81">
        <f t="shared" si="11"/>
        <v>13599999999.999998</v>
      </c>
      <c r="E57" s="82">
        <f t="shared" si="11"/>
        <v>13599999999.999998</v>
      </c>
      <c r="F57" s="82">
        <f t="shared" si="11"/>
        <v>12800000000</v>
      </c>
      <c r="G57" s="82">
        <f t="shared" si="11"/>
        <v>10400000000</v>
      </c>
      <c r="H57" s="82">
        <f t="shared" si="11"/>
        <v>9600000000</v>
      </c>
      <c r="I57" s="83">
        <f t="shared" si="11"/>
        <v>8799999999.9999981</v>
      </c>
      <c r="J57" s="82">
        <f t="shared" si="11"/>
        <v>13599999999.999998</v>
      </c>
      <c r="K57" s="82">
        <f t="shared" si="11"/>
        <v>13599999999.999998</v>
      </c>
      <c r="L57" s="82">
        <f t="shared" si="11"/>
        <v>12800000000</v>
      </c>
      <c r="M57" s="82">
        <f t="shared" si="11"/>
        <v>10400000000</v>
      </c>
      <c r="N57" s="82">
        <f t="shared" si="11"/>
        <v>9600000000</v>
      </c>
      <c r="O57" s="83">
        <f t="shared" si="11"/>
        <v>8799999999.9999981</v>
      </c>
      <c r="P57" s="82">
        <f t="shared" si="10"/>
        <v>13599999999.999998</v>
      </c>
      <c r="Q57" s="82">
        <f t="shared" si="10"/>
        <v>13599999999.999998</v>
      </c>
      <c r="R57" s="82">
        <f t="shared" si="10"/>
        <v>12800000000</v>
      </c>
      <c r="S57" s="82">
        <f t="shared" si="10"/>
        <v>10400000000</v>
      </c>
      <c r="T57" s="82">
        <f t="shared" si="10"/>
        <v>9600000000</v>
      </c>
      <c r="U57" s="83">
        <f t="shared" si="10"/>
        <v>8799999999.9999981</v>
      </c>
    </row>
    <row r="58" spans="1:21" x14ac:dyDescent="0.25">
      <c r="A58" s="44">
        <v>91923.881554251173</v>
      </c>
      <c r="B58" s="18" t="s">
        <v>28</v>
      </c>
      <c r="C58" s="70">
        <v>2</v>
      </c>
      <c r="D58" s="81">
        <f t="shared" si="11"/>
        <v>11049999999.999998</v>
      </c>
      <c r="E58" s="82">
        <f t="shared" si="11"/>
        <v>11049999999.999998</v>
      </c>
      <c r="F58" s="82">
        <f t="shared" si="11"/>
        <v>10400000000</v>
      </c>
      <c r="G58" s="82">
        <f t="shared" si="11"/>
        <v>8449999999.999999</v>
      </c>
      <c r="H58" s="82">
        <f t="shared" si="11"/>
        <v>7799999999.999999</v>
      </c>
      <c r="I58" s="83">
        <f t="shared" si="11"/>
        <v>7149999999.999999</v>
      </c>
      <c r="J58" s="82">
        <f t="shared" si="11"/>
        <v>11049999999.999998</v>
      </c>
      <c r="K58" s="82">
        <f t="shared" si="11"/>
        <v>11049999999.999998</v>
      </c>
      <c r="L58" s="82">
        <f t="shared" si="11"/>
        <v>10400000000</v>
      </c>
      <c r="M58" s="82">
        <f t="shared" si="11"/>
        <v>8449999999.999999</v>
      </c>
      <c r="N58" s="82">
        <f t="shared" si="11"/>
        <v>7799999999.999999</v>
      </c>
      <c r="O58" s="83">
        <f t="shared" si="11"/>
        <v>7149999999.999999</v>
      </c>
      <c r="P58" s="82">
        <f t="shared" si="10"/>
        <v>11049999999.999998</v>
      </c>
      <c r="Q58" s="82">
        <f t="shared" si="10"/>
        <v>11049999999.999998</v>
      </c>
      <c r="R58" s="82">
        <f t="shared" si="10"/>
        <v>10400000000</v>
      </c>
      <c r="S58" s="82">
        <f t="shared" si="10"/>
        <v>8449999999.999999</v>
      </c>
      <c r="T58" s="82">
        <f t="shared" si="10"/>
        <v>7799999999.999999</v>
      </c>
      <c r="U58" s="83">
        <f t="shared" si="10"/>
        <v>7149999999.999999</v>
      </c>
    </row>
    <row r="59" spans="1:21" x14ac:dyDescent="0.25">
      <c r="A59" s="44">
        <v>84852.813742385697</v>
      </c>
      <c r="B59" s="18" t="s">
        <v>28</v>
      </c>
      <c r="C59" s="70">
        <v>3</v>
      </c>
      <c r="D59" s="81">
        <f t="shared" si="11"/>
        <v>10199999999.999998</v>
      </c>
      <c r="E59" s="82">
        <f t="shared" si="11"/>
        <v>10199999999.999998</v>
      </c>
      <c r="F59" s="82">
        <f t="shared" si="11"/>
        <v>9600000000</v>
      </c>
      <c r="G59" s="82">
        <f t="shared" si="11"/>
        <v>7799999999.999999</v>
      </c>
      <c r="H59" s="82">
        <f t="shared" si="11"/>
        <v>7199999999.999999</v>
      </c>
      <c r="I59" s="83">
        <f t="shared" si="11"/>
        <v>6599999999.999999</v>
      </c>
      <c r="J59" s="82">
        <f t="shared" si="11"/>
        <v>10199999999.999998</v>
      </c>
      <c r="K59" s="82">
        <f t="shared" si="11"/>
        <v>10199999999.999998</v>
      </c>
      <c r="L59" s="82">
        <f t="shared" si="11"/>
        <v>9600000000</v>
      </c>
      <c r="M59" s="82">
        <f t="shared" si="11"/>
        <v>7799999999.999999</v>
      </c>
      <c r="N59" s="82">
        <f t="shared" si="11"/>
        <v>7199999999.999999</v>
      </c>
      <c r="O59" s="83">
        <f t="shared" si="11"/>
        <v>6599999999.999999</v>
      </c>
      <c r="P59" s="82">
        <f t="shared" si="10"/>
        <v>10199999999.999998</v>
      </c>
      <c r="Q59" s="82">
        <f t="shared" si="10"/>
        <v>10199999999.999998</v>
      </c>
      <c r="R59" s="82">
        <f t="shared" si="10"/>
        <v>9600000000</v>
      </c>
      <c r="S59" s="82">
        <f t="shared" si="10"/>
        <v>7799999999.999999</v>
      </c>
      <c r="T59" s="82">
        <f t="shared" si="10"/>
        <v>7199999999.999999</v>
      </c>
      <c r="U59" s="83">
        <f t="shared" si="10"/>
        <v>6599999999.999999</v>
      </c>
    </row>
    <row r="60" spans="1:21" x14ac:dyDescent="0.25">
      <c r="A60" s="45">
        <v>77781.745930520221</v>
      </c>
      <c r="B60" s="19" t="s">
        <v>28</v>
      </c>
      <c r="C60" s="66">
        <v>5</v>
      </c>
      <c r="D60" s="84">
        <f t="shared" ref="D60:O60" si="12">+$A60*D$40</f>
        <v>9349999999.9999981</v>
      </c>
      <c r="E60" s="85">
        <f t="shared" si="12"/>
        <v>9349999999.9999981</v>
      </c>
      <c r="F60" s="85">
        <f t="shared" si="12"/>
        <v>8799999999.9999981</v>
      </c>
      <c r="G60" s="85">
        <f t="shared" si="12"/>
        <v>7149999999.999999</v>
      </c>
      <c r="H60" s="85">
        <f t="shared" si="12"/>
        <v>6599999999.999999</v>
      </c>
      <c r="I60" s="86">
        <f t="shared" si="12"/>
        <v>6049999999.999999</v>
      </c>
      <c r="J60" s="85">
        <f t="shared" si="12"/>
        <v>9349999999.9999981</v>
      </c>
      <c r="K60" s="85">
        <f t="shared" si="12"/>
        <v>9349999999.9999981</v>
      </c>
      <c r="L60" s="85">
        <f t="shared" si="12"/>
        <v>8799999999.9999981</v>
      </c>
      <c r="M60" s="85">
        <f t="shared" si="12"/>
        <v>7149999999.999999</v>
      </c>
      <c r="N60" s="85">
        <f t="shared" si="12"/>
        <v>6599999999.999999</v>
      </c>
      <c r="O60" s="86">
        <f t="shared" si="12"/>
        <v>6049999999.999999</v>
      </c>
      <c r="P60" s="85">
        <f t="shared" si="10"/>
        <v>9349999999.9999981</v>
      </c>
      <c r="Q60" s="85">
        <f t="shared" si="10"/>
        <v>9349999999.9999981</v>
      </c>
      <c r="R60" s="85">
        <f t="shared" si="10"/>
        <v>8799999999.9999981</v>
      </c>
      <c r="S60" s="85">
        <f t="shared" si="10"/>
        <v>7149999999.999999</v>
      </c>
      <c r="T60" s="85">
        <f t="shared" si="10"/>
        <v>6599999999.999999</v>
      </c>
      <c r="U60" s="86">
        <f t="shared" si="10"/>
        <v>6049999999.999999</v>
      </c>
    </row>
    <row r="61" spans="1:21" x14ac:dyDescent="0.25">
      <c r="P61" s="13"/>
      <c r="Q61" s="13"/>
      <c r="R61" s="13"/>
      <c r="S61" s="13"/>
      <c r="T61" s="13"/>
      <c r="U61" s="13"/>
    </row>
    <row r="63" spans="1:21" ht="15.75" x14ac:dyDescent="0.25">
      <c r="A63" s="1" t="s">
        <v>18</v>
      </c>
      <c r="C63" s="87">
        <f>+SQRT(SUMPRODUCT(D21:U38,D43:U60))</f>
        <v>1551657.6695178407</v>
      </c>
    </row>
    <row r="64" spans="1:21" x14ac:dyDescent="0.25">
      <c r="A64" s="1" t="s">
        <v>19</v>
      </c>
      <c r="B64" s="46">
        <f>+correlaciones!$Y$2</f>
        <v>1</v>
      </c>
    </row>
  </sheetData>
  <dataValidations count="1">
    <dataValidation type="list" allowBlank="1" showInputMessage="1" showErrorMessage="1" sqref="A10" xr:uid="{00000000-0002-0000-0400-000000000000}">
      <formula1>"SI,NO"</formula1>
    </dataValidation>
  </dataValidation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64"/>
  <sheetViews>
    <sheetView showGridLines="0" zoomScale="85" zoomScaleNormal="85" workbookViewId="0"/>
  </sheetViews>
  <sheetFormatPr defaultColWidth="8.85546875" defaultRowHeight="15" x14ac:dyDescent="0.25"/>
  <cols>
    <col min="1" max="1" width="14.42578125" customWidth="1"/>
    <col min="2" max="2" width="12.7109375" bestFit="1" customWidth="1"/>
    <col min="3" max="3" width="15" customWidth="1"/>
    <col min="4" max="21" width="17.42578125" bestFit="1" customWidth="1"/>
  </cols>
  <sheetData>
    <row r="1" spans="1:9" ht="15.75" x14ac:dyDescent="0.25">
      <c r="A1" s="16" t="s">
        <v>34</v>
      </c>
    </row>
    <row r="2" spans="1:9" ht="15.75" x14ac:dyDescent="0.25">
      <c r="A2" s="16"/>
    </row>
    <row r="3" spans="1:9" x14ac:dyDescent="0.25">
      <c r="A3" s="7" t="s">
        <v>12</v>
      </c>
    </row>
    <row r="4" spans="1:9" x14ac:dyDescent="0.25">
      <c r="C4" s="20" t="s">
        <v>1</v>
      </c>
      <c r="D4" s="21">
        <v>0.25</v>
      </c>
      <c r="E4" s="21">
        <v>0.5</v>
      </c>
      <c r="F4" s="21">
        <v>1</v>
      </c>
      <c r="G4" s="21">
        <v>2</v>
      </c>
      <c r="H4" s="21">
        <v>3</v>
      </c>
      <c r="I4" s="22">
        <v>5</v>
      </c>
    </row>
    <row r="5" spans="1:9" x14ac:dyDescent="0.25">
      <c r="A5" s="20" t="s">
        <v>23</v>
      </c>
      <c r="B5" s="22" t="s">
        <v>2</v>
      </c>
      <c r="D5" s="53"/>
      <c r="E5" s="53"/>
      <c r="F5" s="53"/>
      <c r="G5" s="53"/>
      <c r="H5" s="53"/>
      <c r="I5" s="53"/>
    </row>
    <row r="6" spans="1:9" x14ac:dyDescent="0.25">
      <c r="A6" s="20" t="s">
        <v>24</v>
      </c>
      <c r="B6" s="22" t="s">
        <v>3</v>
      </c>
      <c r="D6" s="54">
        <v>1000</v>
      </c>
      <c r="E6" s="54">
        <v>1000</v>
      </c>
      <c r="F6" s="54">
        <v>1000</v>
      </c>
      <c r="G6" s="54">
        <v>1000</v>
      </c>
      <c r="H6" s="54">
        <v>1000</v>
      </c>
      <c r="I6" s="54"/>
    </row>
    <row r="7" spans="1:9" x14ac:dyDescent="0.25">
      <c r="A7" s="20" t="s">
        <v>31</v>
      </c>
      <c r="B7" s="22" t="s">
        <v>8</v>
      </c>
      <c r="D7" s="35">
        <v>6000</v>
      </c>
      <c r="E7" s="35"/>
      <c r="F7" s="35"/>
      <c r="G7" s="35"/>
      <c r="H7" s="35"/>
      <c r="I7" s="35"/>
    </row>
    <row r="9" spans="1:9" x14ac:dyDescent="0.25">
      <c r="A9" s="7" t="s">
        <v>14</v>
      </c>
    </row>
    <row r="10" spans="1:9" x14ac:dyDescent="0.25">
      <c r="A10" s="23" t="s">
        <v>13</v>
      </c>
      <c r="C10" s="20" t="s">
        <v>1</v>
      </c>
      <c r="D10" s="21">
        <v>0.25</v>
      </c>
      <c r="E10" s="21">
        <v>0.5</v>
      </c>
      <c r="F10" s="21">
        <v>1</v>
      </c>
      <c r="G10" s="21">
        <v>2</v>
      </c>
      <c r="H10" s="21">
        <v>3</v>
      </c>
      <c r="I10" s="22">
        <v>5</v>
      </c>
    </row>
    <row r="11" spans="1:9" x14ac:dyDescent="0.25">
      <c r="A11">
        <f>+IF(A10="SI",SQRT(2),1)</f>
        <v>1.4142135623730951</v>
      </c>
      <c r="C11" s="33" t="s">
        <v>29</v>
      </c>
      <c r="D11" s="33">
        <v>170</v>
      </c>
      <c r="E11" s="33">
        <v>170</v>
      </c>
      <c r="F11" s="33">
        <v>160</v>
      </c>
      <c r="G11" s="33">
        <v>130</v>
      </c>
      <c r="H11" s="33">
        <v>120</v>
      </c>
      <c r="I11" s="33">
        <v>110</v>
      </c>
    </row>
    <row r="12" spans="1:9" x14ac:dyDescent="0.25">
      <c r="C12" s="34" t="s">
        <v>30</v>
      </c>
      <c r="D12" s="34">
        <f>+D11/$A$11</f>
        <v>120.20815280171307</v>
      </c>
      <c r="E12" s="34">
        <f t="shared" ref="E12:I12" si="0">+E11/$A$11</f>
        <v>120.20815280171307</v>
      </c>
      <c r="F12" s="34">
        <f t="shared" si="0"/>
        <v>113.13708498984759</v>
      </c>
      <c r="G12" s="34">
        <f t="shared" si="0"/>
        <v>91.923881554251167</v>
      </c>
      <c r="H12" s="34">
        <f t="shared" si="0"/>
        <v>84.852813742385692</v>
      </c>
      <c r="I12" s="34">
        <f t="shared" si="0"/>
        <v>77.781745930520216</v>
      </c>
    </row>
    <row r="14" spans="1:9" x14ac:dyDescent="0.25">
      <c r="A14" s="7" t="s">
        <v>15</v>
      </c>
      <c r="B14" s="20" t="s">
        <v>23</v>
      </c>
      <c r="C14" s="22" t="s">
        <v>2</v>
      </c>
      <c r="D14" s="75">
        <f t="shared" ref="D14:I14" si="1">+D12*D5</f>
        <v>0</v>
      </c>
      <c r="E14" s="76">
        <f t="shared" si="1"/>
        <v>0</v>
      </c>
      <c r="F14" s="76">
        <f t="shared" si="1"/>
        <v>0</v>
      </c>
      <c r="G14" s="76">
        <f t="shared" si="1"/>
        <v>0</v>
      </c>
      <c r="H14" s="76">
        <f t="shared" si="1"/>
        <v>0</v>
      </c>
      <c r="I14" s="76">
        <f t="shared" si="1"/>
        <v>0</v>
      </c>
    </row>
    <row r="15" spans="1:9" x14ac:dyDescent="0.25">
      <c r="A15" s="7"/>
      <c r="B15" s="20" t="s">
        <v>24</v>
      </c>
      <c r="C15" s="22" t="s">
        <v>3</v>
      </c>
      <c r="D15" s="88">
        <f>+D12*D6</f>
        <v>120208.15280171306</v>
      </c>
      <c r="E15" s="88">
        <f t="shared" ref="E15:I15" si="2">+E12*E6</f>
        <v>120208.15280171306</v>
      </c>
      <c r="F15" s="88">
        <f t="shared" si="2"/>
        <v>113137.0849898476</v>
      </c>
      <c r="G15" s="88">
        <f t="shared" si="2"/>
        <v>91923.881554251173</v>
      </c>
      <c r="H15" s="88">
        <f t="shared" si="2"/>
        <v>84852.813742385697</v>
      </c>
      <c r="I15" s="88">
        <f t="shared" si="2"/>
        <v>0</v>
      </c>
    </row>
    <row r="16" spans="1:9" x14ac:dyDescent="0.25">
      <c r="A16" s="7"/>
      <c r="B16" s="20" t="s">
        <v>31</v>
      </c>
      <c r="C16" s="22" t="s">
        <v>8</v>
      </c>
      <c r="D16" s="89">
        <f>+SUM(D7:I7)*160/A11</f>
        <v>678822.50993908558</v>
      </c>
      <c r="E16" s="90">
        <v>0</v>
      </c>
      <c r="F16" s="90">
        <v>0</v>
      </c>
      <c r="G16" s="90">
        <v>0</v>
      </c>
      <c r="H16" s="90">
        <v>0</v>
      </c>
      <c r="I16" s="90">
        <v>0</v>
      </c>
    </row>
    <row r="18" spans="1:21" x14ac:dyDescent="0.25">
      <c r="A18" s="7" t="s">
        <v>16</v>
      </c>
      <c r="D18" s="47" t="s">
        <v>25</v>
      </c>
      <c r="E18" s="48" t="s">
        <v>25</v>
      </c>
      <c r="F18" s="48" t="s">
        <v>25</v>
      </c>
      <c r="G18" s="48" t="s">
        <v>25</v>
      </c>
      <c r="H18" s="48" t="s">
        <v>25</v>
      </c>
      <c r="I18" s="49" t="s">
        <v>25</v>
      </c>
      <c r="J18" s="48" t="s">
        <v>26</v>
      </c>
      <c r="K18" s="48" t="s">
        <v>26</v>
      </c>
      <c r="L18" s="48" t="s">
        <v>26</v>
      </c>
      <c r="M18" s="48" t="s">
        <v>26</v>
      </c>
      <c r="N18" s="48" t="s">
        <v>26</v>
      </c>
      <c r="O18" s="49" t="s">
        <v>26</v>
      </c>
      <c r="P18" s="48" t="s">
        <v>8</v>
      </c>
      <c r="Q18" s="48" t="s">
        <v>8</v>
      </c>
      <c r="R18" s="48" t="s">
        <v>8</v>
      </c>
      <c r="S18" s="48" t="s">
        <v>8</v>
      </c>
      <c r="T18" s="48" t="s">
        <v>8</v>
      </c>
      <c r="U18" s="49" t="s">
        <v>8</v>
      </c>
    </row>
    <row r="19" spans="1:21" x14ac:dyDescent="0.25">
      <c r="C19" s="20" t="s">
        <v>0</v>
      </c>
      <c r="D19" s="21" t="str">
        <f t="array" ref="D19:I19">+TRANSPOSE(B21:B26)</f>
        <v>1M</v>
      </c>
      <c r="E19" s="21" t="str">
        <v>1M</v>
      </c>
      <c r="F19" s="21" t="str">
        <v>1M</v>
      </c>
      <c r="G19" s="21" t="str">
        <v>1M</v>
      </c>
      <c r="H19" s="21" t="str">
        <v>1M</v>
      </c>
      <c r="I19" s="22" t="str">
        <v>1M</v>
      </c>
      <c r="J19" s="21" t="s">
        <v>3</v>
      </c>
      <c r="K19" s="21" t="s">
        <v>3</v>
      </c>
      <c r="L19" s="21" t="s">
        <v>3</v>
      </c>
      <c r="M19" s="21" t="s">
        <v>3</v>
      </c>
      <c r="N19" s="21" t="s">
        <v>3</v>
      </c>
      <c r="O19" s="22" t="s">
        <v>3</v>
      </c>
      <c r="P19" s="21" t="s">
        <v>8</v>
      </c>
      <c r="Q19" s="21" t="s">
        <v>8</v>
      </c>
      <c r="R19" s="21" t="s">
        <v>8</v>
      </c>
      <c r="S19" s="21" t="s">
        <v>8</v>
      </c>
      <c r="T19" s="21" t="s">
        <v>8</v>
      </c>
      <c r="U19" s="22" t="s">
        <v>8</v>
      </c>
    </row>
    <row r="20" spans="1:21" x14ac:dyDescent="0.25">
      <c r="B20" s="17" t="s">
        <v>0</v>
      </c>
      <c r="C20" s="66" t="s">
        <v>1</v>
      </c>
      <c r="D20" s="67">
        <f t="array" ref="D20:I20">+TRANSPOSE(C21:C26)</f>
        <v>0.25</v>
      </c>
      <c r="E20" s="67">
        <v>0.5</v>
      </c>
      <c r="F20" s="67">
        <v>1</v>
      </c>
      <c r="G20" s="67">
        <v>2</v>
      </c>
      <c r="H20" s="67">
        <v>3</v>
      </c>
      <c r="I20" s="68">
        <v>5</v>
      </c>
      <c r="J20" s="67">
        <v>0.25</v>
      </c>
      <c r="K20" s="67">
        <v>0.5</v>
      </c>
      <c r="L20" s="67">
        <v>1</v>
      </c>
      <c r="M20" s="67">
        <v>2</v>
      </c>
      <c r="N20" s="67">
        <v>3</v>
      </c>
      <c r="O20" s="68">
        <v>5</v>
      </c>
      <c r="P20" s="67">
        <v>0.25</v>
      </c>
      <c r="Q20" s="67">
        <v>0.5</v>
      </c>
      <c r="R20" s="67">
        <v>1</v>
      </c>
      <c r="S20" s="67">
        <v>2</v>
      </c>
      <c r="T20" s="67">
        <v>3</v>
      </c>
      <c r="U20" s="68">
        <v>5</v>
      </c>
    </row>
    <row r="21" spans="1:21" x14ac:dyDescent="0.25">
      <c r="A21" s="50" t="s">
        <v>25</v>
      </c>
      <c r="B21" s="18" t="s">
        <v>2</v>
      </c>
      <c r="C21" s="69">
        <v>0.25</v>
      </c>
      <c r="D21" s="24">
        <f>+correlaciones!Z14</f>
        <v>1</v>
      </c>
      <c r="E21" s="25">
        <f>+correlaciones!AA14</f>
        <v>0.97044553354850815</v>
      </c>
      <c r="F21" s="25">
        <f>+correlaciones!AB14</f>
        <v>0.91393118527122819</v>
      </c>
      <c r="G21" s="25">
        <f>+correlaciones!AC14</f>
        <v>0.81058424597018708</v>
      </c>
      <c r="H21" s="25">
        <f>+correlaciones!AD14</f>
        <v>0.71892373343192617</v>
      </c>
      <c r="I21" s="26">
        <f>+correlaciones!AE14</f>
        <v>0.56552543869953709</v>
      </c>
      <c r="J21" s="25">
        <f t="shared" ref="J21:O26" si="3">0.5*$B$64</f>
        <v>0.5</v>
      </c>
      <c r="K21" s="25">
        <f t="shared" si="3"/>
        <v>0.5</v>
      </c>
      <c r="L21" s="25">
        <f t="shared" si="3"/>
        <v>0.5</v>
      </c>
      <c r="M21" s="25">
        <f t="shared" si="3"/>
        <v>0.5</v>
      </c>
      <c r="N21" s="25">
        <f t="shared" si="3"/>
        <v>0.5</v>
      </c>
      <c r="O21" s="26">
        <f t="shared" si="3"/>
        <v>0.5</v>
      </c>
      <c r="P21" s="25">
        <f t="shared" ref="P21:U26" si="4">0.4*$B$64</f>
        <v>0.4</v>
      </c>
      <c r="Q21" s="25">
        <f t="shared" si="4"/>
        <v>0.4</v>
      </c>
      <c r="R21" s="25">
        <f t="shared" si="4"/>
        <v>0.4</v>
      </c>
      <c r="S21" s="25">
        <f t="shared" si="4"/>
        <v>0.4</v>
      </c>
      <c r="T21" s="25">
        <f t="shared" si="4"/>
        <v>0.4</v>
      </c>
      <c r="U21" s="26">
        <f t="shared" si="4"/>
        <v>0.4</v>
      </c>
    </row>
    <row r="22" spans="1:21" x14ac:dyDescent="0.25">
      <c r="A22" s="51" t="s">
        <v>25</v>
      </c>
      <c r="B22" s="18" t="s">
        <v>2</v>
      </c>
      <c r="C22" s="70">
        <v>0.5</v>
      </c>
      <c r="D22" s="27">
        <f>+correlaciones!Z15</f>
        <v>0.97044553354850815</v>
      </c>
      <c r="E22" s="28">
        <f>+correlaciones!AA15</f>
        <v>1</v>
      </c>
      <c r="F22" s="28">
        <f>+correlaciones!AB15</f>
        <v>0.97044553354850815</v>
      </c>
      <c r="G22" s="28">
        <f>+correlaciones!AC15</f>
        <v>0.91393118527122819</v>
      </c>
      <c r="H22" s="28">
        <f>+correlaciones!AD15</f>
        <v>0.86070797642505781</v>
      </c>
      <c r="I22" s="29">
        <f>+correlaciones!AE15</f>
        <v>0.76337949433685315</v>
      </c>
      <c r="J22" s="28">
        <f t="shared" si="3"/>
        <v>0.5</v>
      </c>
      <c r="K22" s="28">
        <f t="shared" si="3"/>
        <v>0.5</v>
      </c>
      <c r="L22" s="28">
        <f t="shared" si="3"/>
        <v>0.5</v>
      </c>
      <c r="M22" s="28">
        <f t="shared" si="3"/>
        <v>0.5</v>
      </c>
      <c r="N22" s="28">
        <f t="shared" si="3"/>
        <v>0.5</v>
      </c>
      <c r="O22" s="29">
        <f t="shared" si="3"/>
        <v>0.5</v>
      </c>
      <c r="P22" s="28">
        <f t="shared" si="4"/>
        <v>0.4</v>
      </c>
      <c r="Q22" s="28">
        <f t="shared" si="4"/>
        <v>0.4</v>
      </c>
      <c r="R22" s="28">
        <f t="shared" si="4"/>
        <v>0.4</v>
      </c>
      <c r="S22" s="28">
        <f t="shared" si="4"/>
        <v>0.4</v>
      </c>
      <c r="T22" s="28">
        <f t="shared" si="4"/>
        <v>0.4</v>
      </c>
      <c r="U22" s="29">
        <f t="shared" si="4"/>
        <v>0.4</v>
      </c>
    </row>
    <row r="23" spans="1:21" x14ac:dyDescent="0.25">
      <c r="A23" s="51" t="s">
        <v>25</v>
      </c>
      <c r="B23" s="18" t="s">
        <v>2</v>
      </c>
      <c r="C23" s="70">
        <v>1</v>
      </c>
      <c r="D23" s="27">
        <f>+correlaciones!Z16</f>
        <v>0.91393118527122819</v>
      </c>
      <c r="E23" s="28">
        <f>+correlaciones!AA16</f>
        <v>0.97044553354850815</v>
      </c>
      <c r="F23" s="28">
        <f>+correlaciones!AB16</f>
        <v>1</v>
      </c>
      <c r="G23" s="28">
        <f>+correlaciones!AC16</f>
        <v>0.97044553354850815</v>
      </c>
      <c r="H23" s="28">
        <f>+correlaciones!AD16</f>
        <v>0.94176453358424872</v>
      </c>
      <c r="I23" s="29">
        <f>+correlaciones!AE16</f>
        <v>0.88692043671715748</v>
      </c>
      <c r="J23" s="28">
        <f t="shared" si="3"/>
        <v>0.5</v>
      </c>
      <c r="K23" s="28">
        <f t="shared" si="3"/>
        <v>0.5</v>
      </c>
      <c r="L23" s="28">
        <f t="shared" si="3"/>
        <v>0.5</v>
      </c>
      <c r="M23" s="28">
        <f t="shared" si="3"/>
        <v>0.5</v>
      </c>
      <c r="N23" s="28">
        <f t="shared" si="3"/>
        <v>0.5</v>
      </c>
      <c r="O23" s="29">
        <f t="shared" si="3"/>
        <v>0.5</v>
      </c>
      <c r="P23" s="28">
        <f t="shared" si="4"/>
        <v>0.4</v>
      </c>
      <c r="Q23" s="28">
        <f t="shared" si="4"/>
        <v>0.4</v>
      </c>
      <c r="R23" s="28">
        <f t="shared" si="4"/>
        <v>0.4</v>
      </c>
      <c r="S23" s="28">
        <f t="shared" si="4"/>
        <v>0.4</v>
      </c>
      <c r="T23" s="28">
        <f t="shared" si="4"/>
        <v>0.4</v>
      </c>
      <c r="U23" s="29">
        <f t="shared" si="4"/>
        <v>0.4</v>
      </c>
    </row>
    <row r="24" spans="1:21" x14ac:dyDescent="0.25">
      <c r="A24" s="51" t="s">
        <v>25</v>
      </c>
      <c r="B24" s="18" t="s">
        <v>2</v>
      </c>
      <c r="C24" s="70">
        <v>2</v>
      </c>
      <c r="D24" s="27">
        <f>+correlaciones!Z17</f>
        <v>0.81058424597018708</v>
      </c>
      <c r="E24" s="28">
        <f>+correlaciones!AA17</f>
        <v>0.91393118527122819</v>
      </c>
      <c r="F24" s="28">
        <f>+correlaciones!AB17</f>
        <v>0.97044553354850815</v>
      </c>
      <c r="G24" s="28">
        <f>+correlaciones!AC17</f>
        <v>1</v>
      </c>
      <c r="H24" s="28">
        <f>+correlaciones!AD17</f>
        <v>0.98511193960306265</v>
      </c>
      <c r="I24" s="29">
        <f>+correlaciones!AE17</f>
        <v>0.95599748183309996</v>
      </c>
      <c r="J24" s="28">
        <f t="shared" si="3"/>
        <v>0.5</v>
      </c>
      <c r="K24" s="28">
        <f t="shared" si="3"/>
        <v>0.5</v>
      </c>
      <c r="L24" s="28">
        <f t="shared" si="3"/>
        <v>0.5</v>
      </c>
      <c r="M24" s="28">
        <f t="shared" si="3"/>
        <v>0.5</v>
      </c>
      <c r="N24" s="28">
        <f t="shared" si="3"/>
        <v>0.5</v>
      </c>
      <c r="O24" s="29">
        <f t="shared" si="3"/>
        <v>0.5</v>
      </c>
      <c r="P24" s="28">
        <f t="shared" si="4"/>
        <v>0.4</v>
      </c>
      <c r="Q24" s="28">
        <f t="shared" si="4"/>
        <v>0.4</v>
      </c>
      <c r="R24" s="28">
        <f t="shared" si="4"/>
        <v>0.4</v>
      </c>
      <c r="S24" s="28">
        <f t="shared" si="4"/>
        <v>0.4</v>
      </c>
      <c r="T24" s="28">
        <f t="shared" si="4"/>
        <v>0.4</v>
      </c>
      <c r="U24" s="29">
        <f t="shared" si="4"/>
        <v>0.4</v>
      </c>
    </row>
    <row r="25" spans="1:21" x14ac:dyDescent="0.25">
      <c r="A25" s="51" t="s">
        <v>25</v>
      </c>
      <c r="B25" s="18" t="s">
        <v>2</v>
      </c>
      <c r="C25" s="70">
        <v>3</v>
      </c>
      <c r="D25" s="27">
        <f>+correlaciones!Z18</f>
        <v>0.71892373343192617</v>
      </c>
      <c r="E25" s="28">
        <f>+correlaciones!AA18</f>
        <v>0.86070797642505781</v>
      </c>
      <c r="F25" s="28">
        <f>+correlaciones!AB18</f>
        <v>0.94176453358424872</v>
      </c>
      <c r="G25" s="28">
        <f>+correlaciones!AC18</f>
        <v>0.98511193960306265</v>
      </c>
      <c r="H25" s="28">
        <f>+correlaciones!AD18</f>
        <v>1</v>
      </c>
      <c r="I25" s="29">
        <f>+correlaciones!AE18</f>
        <v>0.98019867330675525</v>
      </c>
      <c r="J25" s="28">
        <f t="shared" si="3"/>
        <v>0.5</v>
      </c>
      <c r="K25" s="28">
        <f t="shared" si="3"/>
        <v>0.5</v>
      </c>
      <c r="L25" s="28">
        <f t="shared" si="3"/>
        <v>0.5</v>
      </c>
      <c r="M25" s="28">
        <f t="shared" si="3"/>
        <v>0.5</v>
      </c>
      <c r="N25" s="28">
        <f t="shared" si="3"/>
        <v>0.5</v>
      </c>
      <c r="O25" s="29">
        <f t="shared" si="3"/>
        <v>0.5</v>
      </c>
      <c r="P25" s="28">
        <f t="shared" si="4"/>
        <v>0.4</v>
      </c>
      <c r="Q25" s="28">
        <f t="shared" si="4"/>
        <v>0.4</v>
      </c>
      <c r="R25" s="28">
        <f t="shared" si="4"/>
        <v>0.4</v>
      </c>
      <c r="S25" s="28">
        <f t="shared" si="4"/>
        <v>0.4</v>
      </c>
      <c r="T25" s="28">
        <f t="shared" si="4"/>
        <v>0.4</v>
      </c>
      <c r="U25" s="29">
        <f t="shared" si="4"/>
        <v>0.4</v>
      </c>
    </row>
    <row r="26" spans="1:21" x14ac:dyDescent="0.25">
      <c r="A26" s="52" t="s">
        <v>25</v>
      </c>
      <c r="B26" s="19" t="s">
        <v>2</v>
      </c>
      <c r="C26" s="66">
        <v>5</v>
      </c>
      <c r="D26" s="30">
        <f>+correlaciones!Z19</f>
        <v>0.56552543869953709</v>
      </c>
      <c r="E26" s="31">
        <f>+correlaciones!AA19</f>
        <v>0.76337949433685315</v>
      </c>
      <c r="F26" s="31">
        <f>+correlaciones!AB19</f>
        <v>0.88692043671715748</v>
      </c>
      <c r="G26" s="31">
        <f>+correlaciones!AC19</f>
        <v>0.95599748183309996</v>
      </c>
      <c r="H26" s="31">
        <f>+correlaciones!AD19</f>
        <v>0.98019867330675525</v>
      </c>
      <c r="I26" s="32">
        <f>+correlaciones!AE19</f>
        <v>1</v>
      </c>
      <c r="J26" s="31">
        <f t="shared" si="3"/>
        <v>0.5</v>
      </c>
      <c r="K26" s="31">
        <f t="shared" si="3"/>
        <v>0.5</v>
      </c>
      <c r="L26" s="31">
        <f t="shared" si="3"/>
        <v>0.5</v>
      </c>
      <c r="M26" s="31">
        <f t="shared" si="3"/>
        <v>0.5</v>
      </c>
      <c r="N26" s="31">
        <f t="shared" si="3"/>
        <v>0.5</v>
      </c>
      <c r="O26" s="32">
        <f t="shared" si="3"/>
        <v>0.5</v>
      </c>
      <c r="P26" s="31">
        <f t="shared" si="4"/>
        <v>0.4</v>
      </c>
      <c r="Q26" s="31">
        <f t="shared" si="4"/>
        <v>0.4</v>
      </c>
      <c r="R26" s="31">
        <f t="shared" si="4"/>
        <v>0.4</v>
      </c>
      <c r="S26" s="31">
        <f t="shared" si="4"/>
        <v>0.4</v>
      </c>
      <c r="T26" s="31">
        <f t="shared" si="4"/>
        <v>0.4</v>
      </c>
      <c r="U26" s="32">
        <f t="shared" si="4"/>
        <v>0.4</v>
      </c>
    </row>
    <row r="27" spans="1:21" x14ac:dyDescent="0.25">
      <c r="A27" s="51" t="s">
        <v>26</v>
      </c>
      <c r="B27" s="18" t="s">
        <v>3</v>
      </c>
      <c r="C27" s="69">
        <v>0.25</v>
      </c>
      <c r="D27" s="27">
        <f t="shared" ref="D27:I32" si="5">0.5*$B$64</f>
        <v>0.5</v>
      </c>
      <c r="E27" s="28">
        <f t="shared" si="5"/>
        <v>0.5</v>
      </c>
      <c r="F27" s="28">
        <f t="shared" si="5"/>
        <v>0.5</v>
      </c>
      <c r="G27" s="28">
        <f t="shared" si="5"/>
        <v>0.5</v>
      </c>
      <c r="H27" s="28">
        <f t="shared" si="5"/>
        <v>0.5</v>
      </c>
      <c r="I27" s="29">
        <f t="shared" si="5"/>
        <v>0.5</v>
      </c>
      <c r="J27" s="28">
        <f>+correlaciones!AJ24</f>
        <v>1</v>
      </c>
      <c r="K27" s="28">
        <f>+correlaciones!AK24</f>
        <v>0.97044553354850815</v>
      </c>
      <c r="L27" s="28">
        <f>+correlaciones!AL24</f>
        <v>0.91393118527122819</v>
      </c>
      <c r="M27" s="28">
        <f>+correlaciones!AM24</f>
        <v>0.81058424597018708</v>
      </c>
      <c r="N27" s="28">
        <f>+correlaciones!AN24</f>
        <v>0.71892373343192617</v>
      </c>
      <c r="O27" s="29">
        <f>+correlaciones!AO24</f>
        <v>0.56552543869953709</v>
      </c>
      <c r="P27" s="28">
        <f t="shared" ref="P27:U32" si="6">0.5*$B$64</f>
        <v>0.5</v>
      </c>
      <c r="Q27" s="28">
        <f t="shared" si="6"/>
        <v>0.5</v>
      </c>
      <c r="R27" s="28">
        <f t="shared" si="6"/>
        <v>0.5</v>
      </c>
      <c r="S27" s="28">
        <f t="shared" si="6"/>
        <v>0.5</v>
      </c>
      <c r="T27" s="28">
        <f t="shared" si="6"/>
        <v>0.5</v>
      </c>
      <c r="U27" s="29">
        <f t="shared" si="6"/>
        <v>0.5</v>
      </c>
    </row>
    <row r="28" spans="1:21" x14ac:dyDescent="0.25">
      <c r="A28" s="51" t="s">
        <v>26</v>
      </c>
      <c r="B28" s="18" t="s">
        <v>3</v>
      </c>
      <c r="C28" s="70">
        <v>0.5</v>
      </c>
      <c r="D28" s="27">
        <f t="shared" si="5"/>
        <v>0.5</v>
      </c>
      <c r="E28" s="28">
        <f t="shared" si="5"/>
        <v>0.5</v>
      </c>
      <c r="F28" s="28">
        <f t="shared" si="5"/>
        <v>0.5</v>
      </c>
      <c r="G28" s="28">
        <f t="shared" si="5"/>
        <v>0.5</v>
      </c>
      <c r="H28" s="28">
        <f t="shared" si="5"/>
        <v>0.5</v>
      </c>
      <c r="I28" s="29">
        <f t="shared" si="5"/>
        <v>0.5</v>
      </c>
      <c r="J28" s="28">
        <f>+correlaciones!AJ25</f>
        <v>0.97044553354850815</v>
      </c>
      <c r="K28" s="28">
        <f>+correlaciones!AK25</f>
        <v>1</v>
      </c>
      <c r="L28" s="28">
        <f>+correlaciones!AL25</f>
        <v>0.97044553354850815</v>
      </c>
      <c r="M28" s="28">
        <f>+correlaciones!AM25</f>
        <v>0.91393118527122819</v>
      </c>
      <c r="N28" s="28">
        <f>+correlaciones!AN25</f>
        <v>0.86070797642505781</v>
      </c>
      <c r="O28" s="29">
        <f>+correlaciones!AO25</f>
        <v>0.76337949433685315</v>
      </c>
      <c r="P28" s="28">
        <f t="shared" si="6"/>
        <v>0.5</v>
      </c>
      <c r="Q28" s="28">
        <f t="shared" si="6"/>
        <v>0.5</v>
      </c>
      <c r="R28" s="28">
        <f t="shared" si="6"/>
        <v>0.5</v>
      </c>
      <c r="S28" s="28">
        <f t="shared" si="6"/>
        <v>0.5</v>
      </c>
      <c r="T28" s="28">
        <f t="shared" si="6"/>
        <v>0.5</v>
      </c>
      <c r="U28" s="29">
        <f t="shared" si="6"/>
        <v>0.5</v>
      </c>
    </row>
    <row r="29" spans="1:21" x14ac:dyDescent="0.25">
      <c r="A29" s="51" t="s">
        <v>26</v>
      </c>
      <c r="B29" s="18" t="s">
        <v>3</v>
      </c>
      <c r="C29" s="70">
        <v>1</v>
      </c>
      <c r="D29" s="27">
        <f t="shared" si="5"/>
        <v>0.5</v>
      </c>
      <c r="E29" s="28">
        <f t="shared" si="5"/>
        <v>0.5</v>
      </c>
      <c r="F29" s="28">
        <f t="shared" si="5"/>
        <v>0.5</v>
      </c>
      <c r="G29" s="28">
        <f t="shared" si="5"/>
        <v>0.5</v>
      </c>
      <c r="H29" s="28">
        <f t="shared" si="5"/>
        <v>0.5</v>
      </c>
      <c r="I29" s="29">
        <f t="shared" si="5"/>
        <v>0.5</v>
      </c>
      <c r="J29" s="28">
        <f>+correlaciones!AJ26</f>
        <v>0.91393118527122819</v>
      </c>
      <c r="K29" s="28">
        <f>+correlaciones!AK26</f>
        <v>0.97044553354850815</v>
      </c>
      <c r="L29" s="28">
        <f>+correlaciones!AL26</f>
        <v>1</v>
      </c>
      <c r="M29" s="28">
        <f>+correlaciones!AM26</f>
        <v>0.97044553354850815</v>
      </c>
      <c r="N29" s="28">
        <f>+correlaciones!AN26</f>
        <v>0.94176453358424872</v>
      </c>
      <c r="O29" s="29">
        <f>+correlaciones!AO26</f>
        <v>0.88692043671715748</v>
      </c>
      <c r="P29" s="28">
        <f t="shared" si="6"/>
        <v>0.5</v>
      </c>
      <c r="Q29" s="28">
        <f t="shared" si="6"/>
        <v>0.5</v>
      </c>
      <c r="R29" s="28">
        <f t="shared" si="6"/>
        <v>0.5</v>
      </c>
      <c r="S29" s="28">
        <f t="shared" si="6"/>
        <v>0.5</v>
      </c>
      <c r="T29" s="28">
        <f t="shared" si="6"/>
        <v>0.5</v>
      </c>
      <c r="U29" s="29">
        <f t="shared" si="6"/>
        <v>0.5</v>
      </c>
    </row>
    <row r="30" spans="1:21" x14ac:dyDescent="0.25">
      <c r="A30" s="51" t="s">
        <v>26</v>
      </c>
      <c r="B30" s="18" t="s">
        <v>3</v>
      </c>
      <c r="C30" s="70">
        <v>2</v>
      </c>
      <c r="D30" s="27">
        <f t="shared" si="5"/>
        <v>0.5</v>
      </c>
      <c r="E30" s="28">
        <f t="shared" si="5"/>
        <v>0.5</v>
      </c>
      <c r="F30" s="28">
        <f t="shared" si="5"/>
        <v>0.5</v>
      </c>
      <c r="G30" s="28">
        <f t="shared" si="5"/>
        <v>0.5</v>
      </c>
      <c r="H30" s="28">
        <f t="shared" si="5"/>
        <v>0.5</v>
      </c>
      <c r="I30" s="29">
        <f t="shared" si="5"/>
        <v>0.5</v>
      </c>
      <c r="J30" s="28">
        <f>+correlaciones!AJ27</f>
        <v>0.81058424597018708</v>
      </c>
      <c r="K30" s="28">
        <f>+correlaciones!AK27</f>
        <v>0.91393118527122819</v>
      </c>
      <c r="L30" s="28">
        <f>+correlaciones!AL27</f>
        <v>0.97044553354850815</v>
      </c>
      <c r="M30" s="28">
        <f>+correlaciones!AM27</f>
        <v>1</v>
      </c>
      <c r="N30" s="28">
        <f>+correlaciones!AN27</f>
        <v>0.98511193960306265</v>
      </c>
      <c r="O30" s="29">
        <f>+correlaciones!AO27</f>
        <v>0.95599748183309996</v>
      </c>
      <c r="P30" s="28">
        <f t="shared" si="6"/>
        <v>0.5</v>
      </c>
      <c r="Q30" s="28">
        <f t="shared" si="6"/>
        <v>0.5</v>
      </c>
      <c r="R30" s="28">
        <f t="shared" si="6"/>
        <v>0.5</v>
      </c>
      <c r="S30" s="28">
        <f t="shared" si="6"/>
        <v>0.5</v>
      </c>
      <c r="T30" s="28">
        <f t="shared" si="6"/>
        <v>0.5</v>
      </c>
      <c r="U30" s="29">
        <f t="shared" si="6"/>
        <v>0.5</v>
      </c>
    </row>
    <row r="31" spans="1:21" x14ac:dyDescent="0.25">
      <c r="A31" s="51" t="s">
        <v>26</v>
      </c>
      <c r="B31" s="18" t="s">
        <v>3</v>
      </c>
      <c r="C31" s="70">
        <v>3</v>
      </c>
      <c r="D31" s="27">
        <f t="shared" si="5"/>
        <v>0.5</v>
      </c>
      <c r="E31" s="28">
        <f t="shared" si="5"/>
        <v>0.5</v>
      </c>
      <c r="F31" s="28">
        <f t="shared" si="5"/>
        <v>0.5</v>
      </c>
      <c r="G31" s="28">
        <f t="shared" si="5"/>
        <v>0.5</v>
      </c>
      <c r="H31" s="28">
        <f t="shared" si="5"/>
        <v>0.5</v>
      </c>
      <c r="I31" s="29">
        <f t="shared" si="5"/>
        <v>0.5</v>
      </c>
      <c r="J31" s="28">
        <f>+correlaciones!AJ28</f>
        <v>0.71892373343192617</v>
      </c>
      <c r="K31" s="28">
        <f>+correlaciones!AK28</f>
        <v>0.86070797642505781</v>
      </c>
      <c r="L31" s="28">
        <f>+correlaciones!AL28</f>
        <v>0.94176453358424872</v>
      </c>
      <c r="M31" s="28">
        <f>+correlaciones!AM28</f>
        <v>0.98511193960306265</v>
      </c>
      <c r="N31" s="28">
        <f>+correlaciones!AN28</f>
        <v>1</v>
      </c>
      <c r="O31" s="29">
        <f>+correlaciones!AO28</f>
        <v>0.98019867330675525</v>
      </c>
      <c r="P31" s="28">
        <f t="shared" si="6"/>
        <v>0.5</v>
      </c>
      <c r="Q31" s="28">
        <f t="shared" si="6"/>
        <v>0.5</v>
      </c>
      <c r="R31" s="28">
        <f t="shared" si="6"/>
        <v>0.5</v>
      </c>
      <c r="S31" s="28">
        <f t="shared" si="6"/>
        <v>0.5</v>
      </c>
      <c r="T31" s="28">
        <f t="shared" si="6"/>
        <v>0.5</v>
      </c>
      <c r="U31" s="29">
        <f t="shared" si="6"/>
        <v>0.5</v>
      </c>
    </row>
    <row r="32" spans="1:21" x14ac:dyDescent="0.25">
      <c r="A32" s="52" t="s">
        <v>26</v>
      </c>
      <c r="B32" s="19" t="s">
        <v>3</v>
      </c>
      <c r="C32" s="66">
        <v>5</v>
      </c>
      <c r="D32" s="30">
        <f t="shared" si="5"/>
        <v>0.5</v>
      </c>
      <c r="E32" s="31">
        <f t="shared" si="5"/>
        <v>0.5</v>
      </c>
      <c r="F32" s="31">
        <f t="shared" si="5"/>
        <v>0.5</v>
      </c>
      <c r="G32" s="31">
        <f t="shared" si="5"/>
        <v>0.5</v>
      </c>
      <c r="H32" s="31">
        <f t="shared" si="5"/>
        <v>0.5</v>
      </c>
      <c r="I32" s="32">
        <f t="shared" si="5"/>
        <v>0.5</v>
      </c>
      <c r="J32" s="31">
        <f>+correlaciones!AJ29</f>
        <v>0.56552543869953709</v>
      </c>
      <c r="K32" s="31">
        <f>+correlaciones!AK29</f>
        <v>0.76337949433685315</v>
      </c>
      <c r="L32" s="31">
        <f>+correlaciones!AL29</f>
        <v>0.88692043671715748</v>
      </c>
      <c r="M32" s="31">
        <f>+correlaciones!AM29</f>
        <v>0.95599748183309996</v>
      </c>
      <c r="N32" s="31">
        <f>+correlaciones!AN29</f>
        <v>0.98019867330675525</v>
      </c>
      <c r="O32" s="32">
        <f>+correlaciones!AO29</f>
        <v>1</v>
      </c>
      <c r="P32" s="31">
        <f t="shared" si="6"/>
        <v>0.5</v>
      </c>
      <c r="Q32" s="31">
        <f t="shared" si="6"/>
        <v>0.5</v>
      </c>
      <c r="R32" s="31">
        <f t="shared" si="6"/>
        <v>0.5</v>
      </c>
      <c r="S32" s="31">
        <f t="shared" si="6"/>
        <v>0.5</v>
      </c>
      <c r="T32" s="31">
        <f t="shared" si="6"/>
        <v>0.5</v>
      </c>
      <c r="U32" s="32">
        <f t="shared" si="6"/>
        <v>0.5</v>
      </c>
    </row>
    <row r="33" spans="1:24" x14ac:dyDescent="0.25">
      <c r="A33" s="51" t="s">
        <v>32</v>
      </c>
      <c r="B33" s="18" t="s">
        <v>8</v>
      </c>
      <c r="C33" s="69">
        <v>0.25</v>
      </c>
      <c r="D33" s="27">
        <f t="shared" ref="D33:I38" si="7">0.4*$B$64</f>
        <v>0.4</v>
      </c>
      <c r="E33" s="28">
        <f t="shared" si="7"/>
        <v>0.4</v>
      </c>
      <c r="F33" s="28">
        <f t="shared" si="7"/>
        <v>0.4</v>
      </c>
      <c r="G33" s="28">
        <f t="shared" si="7"/>
        <v>0.4</v>
      </c>
      <c r="H33" s="28">
        <f t="shared" si="7"/>
        <v>0.4</v>
      </c>
      <c r="I33" s="29">
        <f t="shared" si="7"/>
        <v>0.4</v>
      </c>
      <c r="J33" s="28">
        <f t="shared" ref="J33:O38" si="8">0.5*$B$64</f>
        <v>0.5</v>
      </c>
      <c r="K33" s="28">
        <f t="shared" si="8"/>
        <v>0.5</v>
      </c>
      <c r="L33" s="28">
        <f t="shared" si="8"/>
        <v>0.5</v>
      </c>
      <c r="M33" s="28">
        <f t="shared" si="8"/>
        <v>0.5</v>
      </c>
      <c r="N33" s="28">
        <f t="shared" si="8"/>
        <v>0.5</v>
      </c>
      <c r="O33" s="29">
        <f t="shared" si="8"/>
        <v>0.5</v>
      </c>
      <c r="P33" s="28">
        <v>1</v>
      </c>
      <c r="Q33" s="28">
        <v>1</v>
      </c>
      <c r="R33" s="28">
        <v>1</v>
      </c>
      <c r="S33" s="28">
        <v>1</v>
      </c>
      <c r="T33" s="28">
        <v>1</v>
      </c>
      <c r="U33" s="29">
        <v>1</v>
      </c>
    </row>
    <row r="34" spans="1:24" x14ac:dyDescent="0.25">
      <c r="A34" s="51" t="s">
        <v>32</v>
      </c>
      <c r="B34" s="18" t="s">
        <v>8</v>
      </c>
      <c r="C34" s="70">
        <v>0.5</v>
      </c>
      <c r="D34" s="27">
        <f t="shared" si="7"/>
        <v>0.4</v>
      </c>
      <c r="E34" s="28">
        <f t="shared" si="7"/>
        <v>0.4</v>
      </c>
      <c r="F34" s="28">
        <f t="shared" si="7"/>
        <v>0.4</v>
      </c>
      <c r="G34" s="28">
        <f t="shared" si="7"/>
        <v>0.4</v>
      </c>
      <c r="H34" s="28">
        <f t="shared" si="7"/>
        <v>0.4</v>
      </c>
      <c r="I34" s="29">
        <f t="shared" si="7"/>
        <v>0.4</v>
      </c>
      <c r="J34" s="28">
        <f t="shared" si="8"/>
        <v>0.5</v>
      </c>
      <c r="K34" s="28">
        <f t="shared" si="8"/>
        <v>0.5</v>
      </c>
      <c r="L34" s="28">
        <f t="shared" si="8"/>
        <v>0.5</v>
      </c>
      <c r="M34" s="28">
        <f t="shared" si="8"/>
        <v>0.5</v>
      </c>
      <c r="N34" s="28">
        <f t="shared" si="8"/>
        <v>0.5</v>
      </c>
      <c r="O34" s="29">
        <f t="shared" si="8"/>
        <v>0.5</v>
      </c>
      <c r="P34" s="28">
        <v>1</v>
      </c>
      <c r="Q34" s="28">
        <v>1</v>
      </c>
      <c r="R34" s="28">
        <v>1</v>
      </c>
      <c r="S34" s="28">
        <v>1</v>
      </c>
      <c r="T34" s="28">
        <v>1</v>
      </c>
      <c r="U34" s="29">
        <v>1</v>
      </c>
    </row>
    <row r="35" spans="1:24" x14ac:dyDescent="0.25">
      <c r="A35" s="51" t="s">
        <v>32</v>
      </c>
      <c r="B35" s="18" t="s">
        <v>8</v>
      </c>
      <c r="C35" s="70">
        <v>1</v>
      </c>
      <c r="D35" s="27">
        <f t="shared" si="7"/>
        <v>0.4</v>
      </c>
      <c r="E35" s="28">
        <f t="shared" si="7"/>
        <v>0.4</v>
      </c>
      <c r="F35" s="28">
        <f t="shared" si="7"/>
        <v>0.4</v>
      </c>
      <c r="G35" s="28">
        <f t="shared" si="7"/>
        <v>0.4</v>
      </c>
      <c r="H35" s="28">
        <f t="shared" si="7"/>
        <v>0.4</v>
      </c>
      <c r="I35" s="29">
        <f t="shared" si="7"/>
        <v>0.4</v>
      </c>
      <c r="J35" s="28">
        <f t="shared" si="8"/>
        <v>0.5</v>
      </c>
      <c r="K35" s="28">
        <f t="shared" si="8"/>
        <v>0.5</v>
      </c>
      <c r="L35" s="28">
        <f t="shared" si="8"/>
        <v>0.5</v>
      </c>
      <c r="M35" s="28">
        <f t="shared" si="8"/>
        <v>0.5</v>
      </c>
      <c r="N35" s="28">
        <f t="shared" si="8"/>
        <v>0.5</v>
      </c>
      <c r="O35" s="29">
        <f t="shared" si="8"/>
        <v>0.5</v>
      </c>
      <c r="P35" s="28">
        <v>1</v>
      </c>
      <c r="Q35" s="28">
        <v>1</v>
      </c>
      <c r="R35" s="28">
        <v>1</v>
      </c>
      <c r="S35" s="28">
        <v>1</v>
      </c>
      <c r="T35" s="28">
        <v>1</v>
      </c>
      <c r="U35" s="29">
        <v>1</v>
      </c>
    </row>
    <row r="36" spans="1:24" x14ac:dyDescent="0.25">
      <c r="A36" s="51" t="s">
        <v>32</v>
      </c>
      <c r="B36" s="18" t="s">
        <v>8</v>
      </c>
      <c r="C36" s="70">
        <v>2</v>
      </c>
      <c r="D36" s="27">
        <f t="shared" si="7"/>
        <v>0.4</v>
      </c>
      <c r="E36" s="28">
        <f t="shared" si="7"/>
        <v>0.4</v>
      </c>
      <c r="F36" s="28">
        <f t="shared" si="7"/>
        <v>0.4</v>
      </c>
      <c r="G36" s="28">
        <f t="shared" si="7"/>
        <v>0.4</v>
      </c>
      <c r="H36" s="28">
        <f t="shared" si="7"/>
        <v>0.4</v>
      </c>
      <c r="I36" s="29">
        <f t="shared" si="7"/>
        <v>0.4</v>
      </c>
      <c r="J36" s="28">
        <f t="shared" si="8"/>
        <v>0.5</v>
      </c>
      <c r="K36" s="28">
        <f t="shared" si="8"/>
        <v>0.5</v>
      </c>
      <c r="L36" s="28">
        <f t="shared" si="8"/>
        <v>0.5</v>
      </c>
      <c r="M36" s="28">
        <f t="shared" si="8"/>
        <v>0.5</v>
      </c>
      <c r="N36" s="28">
        <f t="shared" si="8"/>
        <v>0.5</v>
      </c>
      <c r="O36" s="29">
        <f t="shared" si="8"/>
        <v>0.5</v>
      </c>
      <c r="P36" s="28">
        <v>1</v>
      </c>
      <c r="Q36" s="28">
        <v>1</v>
      </c>
      <c r="R36" s="28">
        <v>1</v>
      </c>
      <c r="S36" s="28">
        <v>1</v>
      </c>
      <c r="T36" s="28">
        <v>1</v>
      </c>
      <c r="U36" s="29">
        <v>1</v>
      </c>
    </row>
    <row r="37" spans="1:24" x14ac:dyDescent="0.25">
      <c r="A37" s="51" t="s">
        <v>32</v>
      </c>
      <c r="B37" s="18" t="s">
        <v>8</v>
      </c>
      <c r="C37" s="70">
        <v>3</v>
      </c>
      <c r="D37" s="27">
        <f t="shared" si="7"/>
        <v>0.4</v>
      </c>
      <c r="E37" s="28">
        <f t="shared" si="7"/>
        <v>0.4</v>
      </c>
      <c r="F37" s="28">
        <f t="shared" si="7"/>
        <v>0.4</v>
      </c>
      <c r="G37" s="28">
        <f t="shared" si="7"/>
        <v>0.4</v>
      </c>
      <c r="H37" s="28">
        <f t="shared" si="7"/>
        <v>0.4</v>
      </c>
      <c r="I37" s="29">
        <f t="shared" si="7"/>
        <v>0.4</v>
      </c>
      <c r="J37" s="28">
        <f t="shared" si="8"/>
        <v>0.5</v>
      </c>
      <c r="K37" s="28">
        <f t="shared" si="8"/>
        <v>0.5</v>
      </c>
      <c r="L37" s="28">
        <f t="shared" si="8"/>
        <v>0.5</v>
      </c>
      <c r="M37" s="28">
        <f t="shared" si="8"/>
        <v>0.5</v>
      </c>
      <c r="N37" s="28">
        <f t="shared" si="8"/>
        <v>0.5</v>
      </c>
      <c r="O37" s="29">
        <f t="shared" si="8"/>
        <v>0.5</v>
      </c>
      <c r="P37" s="28">
        <v>1</v>
      </c>
      <c r="Q37" s="28">
        <v>1</v>
      </c>
      <c r="R37" s="28">
        <v>1</v>
      </c>
      <c r="S37" s="28">
        <v>1</v>
      </c>
      <c r="T37" s="28">
        <v>1</v>
      </c>
      <c r="U37" s="29">
        <v>1</v>
      </c>
    </row>
    <row r="38" spans="1:24" x14ac:dyDescent="0.25">
      <c r="A38" s="52" t="s">
        <v>32</v>
      </c>
      <c r="B38" s="19" t="s">
        <v>8</v>
      </c>
      <c r="C38" s="66">
        <v>5</v>
      </c>
      <c r="D38" s="30">
        <f t="shared" si="7"/>
        <v>0.4</v>
      </c>
      <c r="E38" s="31">
        <f t="shared" si="7"/>
        <v>0.4</v>
      </c>
      <c r="F38" s="31">
        <f t="shared" si="7"/>
        <v>0.4</v>
      </c>
      <c r="G38" s="31">
        <f t="shared" si="7"/>
        <v>0.4</v>
      </c>
      <c r="H38" s="31">
        <f t="shared" si="7"/>
        <v>0.4</v>
      </c>
      <c r="I38" s="32">
        <f t="shared" si="7"/>
        <v>0.4</v>
      </c>
      <c r="J38" s="31">
        <f t="shared" si="8"/>
        <v>0.5</v>
      </c>
      <c r="K38" s="31">
        <f t="shared" si="8"/>
        <v>0.5</v>
      </c>
      <c r="L38" s="31">
        <f t="shared" si="8"/>
        <v>0.5</v>
      </c>
      <c r="M38" s="31">
        <f t="shared" si="8"/>
        <v>0.5</v>
      </c>
      <c r="N38" s="31">
        <f t="shared" si="8"/>
        <v>0.5</v>
      </c>
      <c r="O38" s="32">
        <f t="shared" si="8"/>
        <v>0.5</v>
      </c>
      <c r="P38" s="31">
        <v>1</v>
      </c>
      <c r="Q38" s="31">
        <v>1</v>
      </c>
      <c r="R38" s="31">
        <v>1</v>
      </c>
      <c r="S38" s="31">
        <v>1</v>
      </c>
      <c r="T38" s="31">
        <v>1</v>
      </c>
      <c r="U38" s="32">
        <v>1</v>
      </c>
    </row>
    <row r="40" spans="1:24" x14ac:dyDescent="0.25">
      <c r="A40" s="7" t="s">
        <v>21</v>
      </c>
      <c r="B40" s="1"/>
      <c r="D40" s="40">
        <f t="shared" ref="D40:I40" si="9">+D14</f>
        <v>0</v>
      </c>
      <c r="E40" s="41">
        <f t="shared" si="9"/>
        <v>0</v>
      </c>
      <c r="F40" s="41">
        <f t="shared" si="9"/>
        <v>0</v>
      </c>
      <c r="G40" s="41">
        <f t="shared" si="9"/>
        <v>0</v>
      </c>
      <c r="H40" s="41">
        <f t="shared" si="9"/>
        <v>0</v>
      </c>
      <c r="I40" s="42">
        <f t="shared" si="9"/>
        <v>0</v>
      </c>
      <c r="J40" s="41">
        <f t="shared" ref="J40:O40" si="10">+D15</f>
        <v>120208.15280171306</v>
      </c>
      <c r="K40" s="41">
        <f t="shared" si="10"/>
        <v>120208.15280171306</v>
      </c>
      <c r="L40" s="41">
        <f t="shared" si="10"/>
        <v>113137.0849898476</v>
      </c>
      <c r="M40" s="41">
        <f t="shared" si="10"/>
        <v>91923.881554251173</v>
      </c>
      <c r="N40" s="41">
        <f t="shared" si="10"/>
        <v>84852.813742385697</v>
      </c>
      <c r="O40" s="42">
        <f t="shared" si="10"/>
        <v>0</v>
      </c>
      <c r="P40" s="10">
        <f t="shared" ref="P40:U40" si="11">+D16</f>
        <v>678822.50993908558</v>
      </c>
      <c r="Q40" s="11">
        <f t="shared" si="11"/>
        <v>0</v>
      </c>
      <c r="R40" s="11">
        <f t="shared" si="11"/>
        <v>0</v>
      </c>
      <c r="S40" s="11">
        <f t="shared" si="11"/>
        <v>0</v>
      </c>
      <c r="T40" s="11">
        <f t="shared" si="11"/>
        <v>0</v>
      </c>
      <c r="U40" s="12">
        <f t="shared" si="11"/>
        <v>0</v>
      </c>
      <c r="V40" s="8"/>
      <c r="W40" s="8"/>
      <c r="X40" s="8"/>
    </row>
    <row r="41" spans="1:24" x14ac:dyDescent="0.25">
      <c r="A41" s="1"/>
      <c r="C41" s="20" t="s">
        <v>0</v>
      </c>
      <c r="D41" s="21" t="str">
        <f t="array" ref="D41:I41">+TRANSPOSE(B43:B48)</f>
        <v>1M</v>
      </c>
      <c r="E41" s="21" t="str">
        <v>1M</v>
      </c>
      <c r="F41" s="21" t="str">
        <v>1M</v>
      </c>
      <c r="G41" s="21" t="str">
        <v>1M</v>
      </c>
      <c r="H41" s="21" t="str">
        <v>1M</v>
      </c>
      <c r="I41" s="22" t="str">
        <v>1M</v>
      </c>
      <c r="J41" s="21" t="s">
        <v>3</v>
      </c>
      <c r="K41" s="21" t="s">
        <v>3</v>
      </c>
      <c r="L41" s="21" t="s">
        <v>3</v>
      </c>
      <c r="M41" s="21" t="s">
        <v>3</v>
      </c>
      <c r="N41" s="21" t="s">
        <v>3</v>
      </c>
      <c r="O41" s="22" t="s">
        <v>3</v>
      </c>
      <c r="P41" s="21" t="s">
        <v>8</v>
      </c>
      <c r="Q41" s="21" t="s">
        <v>8</v>
      </c>
      <c r="R41" s="21" t="s">
        <v>8</v>
      </c>
      <c r="S41" s="21" t="s">
        <v>8</v>
      </c>
      <c r="T41" s="21" t="s">
        <v>8</v>
      </c>
      <c r="U41" s="22" t="s">
        <v>8</v>
      </c>
    </row>
    <row r="42" spans="1:24" x14ac:dyDescent="0.25">
      <c r="B42" s="17" t="s">
        <v>0</v>
      </c>
      <c r="C42" s="66" t="s">
        <v>1</v>
      </c>
      <c r="D42" s="67">
        <f t="array" ref="D42:I42">+TRANSPOSE(C43:C48)</f>
        <v>0.25</v>
      </c>
      <c r="E42" s="67">
        <v>0.5</v>
      </c>
      <c r="F42" s="67">
        <v>1</v>
      </c>
      <c r="G42" s="67">
        <v>2</v>
      </c>
      <c r="H42" s="67">
        <v>3</v>
      </c>
      <c r="I42" s="68">
        <v>5</v>
      </c>
      <c r="J42" s="67">
        <v>0.25</v>
      </c>
      <c r="K42" s="67">
        <v>0.5</v>
      </c>
      <c r="L42" s="67">
        <v>1</v>
      </c>
      <c r="M42" s="67">
        <v>2</v>
      </c>
      <c r="N42" s="67">
        <v>3</v>
      </c>
      <c r="O42" s="68">
        <v>5</v>
      </c>
      <c r="P42" s="67">
        <v>0.25</v>
      </c>
      <c r="Q42" s="67">
        <v>0.5</v>
      </c>
      <c r="R42" s="67">
        <v>1</v>
      </c>
      <c r="S42" s="67">
        <v>2</v>
      </c>
      <c r="T42" s="67">
        <v>3</v>
      </c>
      <c r="U42" s="68">
        <v>5</v>
      </c>
    </row>
    <row r="43" spans="1:24" x14ac:dyDescent="0.25">
      <c r="A43" s="43">
        <f t="array" ref="A43:A60">+TRANSPOSE(D40:U40)</f>
        <v>0</v>
      </c>
      <c r="B43" s="18" t="s">
        <v>2</v>
      </c>
      <c r="C43" s="69">
        <v>0.25</v>
      </c>
      <c r="D43" s="78">
        <f>+$A43*D$40</f>
        <v>0</v>
      </c>
      <c r="E43" s="79">
        <f t="shared" ref="E43:T54" si="12">+$A43*E$40</f>
        <v>0</v>
      </c>
      <c r="F43" s="79">
        <f t="shared" si="12"/>
        <v>0</v>
      </c>
      <c r="G43" s="79">
        <f t="shared" si="12"/>
        <v>0</v>
      </c>
      <c r="H43" s="79">
        <f t="shared" si="12"/>
        <v>0</v>
      </c>
      <c r="I43" s="80">
        <f t="shared" si="12"/>
        <v>0</v>
      </c>
      <c r="J43" s="79">
        <f t="shared" si="12"/>
        <v>0</v>
      </c>
      <c r="K43" s="79">
        <f t="shared" si="12"/>
        <v>0</v>
      </c>
      <c r="L43" s="79">
        <f t="shared" si="12"/>
        <v>0</v>
      </c>
      <c r="M43" s="79">
        <f t="shared" si="12"/>
        <v>0</v>
      </c>
      <c r="N43" s="79">
        <f t="shared" si="12"/>
        <v>0</v>
      </c>
      <c r="O43" s="80">
        <f t="shared" si="12"/>
        <v>0</v>
      </c>
      <c r="P43" s="79">
        <f t="shared" si="12"/>
        <v>0</v>
      </c>
      <c r="Q43" s="79">
        <f t="shared" si="12"/>
        <v>0</v>
      </c>
      <c r="R43" s="79">
        <f t="shared" si="12"/>
        <v>0</v>
      </c>
      <c r="S43" s="79">
        <f t="shared" si="12"/>
        <v>0</v>
      </c>
      <c r="T43" s="79">
        <f t="shared" si="12"/>
        <v>0</v>
      </c>
      <c r="U43" s="80">
        <f t="shared" ref="P43:U60" si="13">+$A43*U$40</f>
        <v>0</v>
      </c>
    </row>
    <row r="44" spans="1:24" x14ac:dyDescent="0.25">
      <c r="A44" s="44">
        <v>0</v>
      </c>
      <c r="B44" s="18" t="s">
        <v>2</v>
      </c>
      <c r="C44" s="70">
        <v>0.5</v>
      </c>
      <c r="D44" s="81">
        <f t="shared" ref="D44:O59" si="14">+$A44*D$40</f>
        <v>0</v>
      </c>
      <c r="E44" s="82">
        <f t="shared" si="12"/>
        <v>0</v>
      </c>
      <c r="F44" s="82">
        <f t="shared" si="12"/>
        <v>0</v>
      </c>
      <c r="G44" s="82">
        <f t="shared" si="12"/>
        <v>0</v>
      </c>
      <c r="H44" s="82">
        <f t="shared" si="12"/>
        <v>0</v>
      </c>
      <c r="I44" s="83">
        <f t="shared" si="12"/>
        <v>0</v>
      </c>
      <c r="J44" s="82">
        <f t="shared" si="12"/>
        <v>0</v>
      </c>
      <c r="K44" s="82">
        <f t="shared" si="12"/>
        <v>0</v>
      </c>
      <c r="L44" s="82">
        <f t="shared" si="12"/>
        <v>0</v>
      </c>
      <c r="M44" s="82">
        <f t="shared" si="12"/>
        <v>0</v>
      </c>
      <c r="N44" s="82">
        <f t="shared" si="12"/>
        <v>0</v>
      </c>
      <c r="O44" s="83">
        <f t="shared" si="12"/>
        <v>0</v>
      </c>
      <c r="P44" s="82">
        <f t="shared" si="13"/>
        <v>0</v>
      </c>
      <c r="Q44" s="82">
        <f t="shared" si="13"/>
        <v>0</v>
      </c>
      <c r="R44" s="82">
        <f t="shared" si="13"/>
        <v>0</v>
      </c>
      <c r="S44" s="82">
        <f t="shared" si="13"/>
        <v>0</v>
      </c>
      <c r="T44" s="82">
        <f t="shared" si="13"/>
        <v>0</v>
      </c>
      <c r="U44" s="83">
        <f t="shared" si="13"/>
        <v>0</v>
      </c>
    </row>
    <row r="45" spans="1:24" x14ac:dyDescent="0.25">
      <c r="A45" s="44">
        <v>0</v>
      </c>
      <c r="B45" s="18" t="s">
        <v>2</v>
      </c>
      <c r="C45" s="70">
        <v>1</v>
      </c>
      <c r="D45" s="81">
        <f t="shared" si="14"/>
        <v>0</v>
      </c>
      <c r="E45" s="82">
        <f t="shared" si="12"/>
        <v>0</v>
      </c>
      <c r="F45" s="82">
        <f t="shared" si="12"/>
        <v>0</v>
      </c>
      <c r="G45" s="82">
        <f t="shared" si="12"/>
        <v>0</v>
      </c>
      <c r="H45" s="82">
        <f t="shared" si="12"/>
        <v>0</v>
      </c>
      <c r="I45" s="83">
        <f t="shared" si="12"/>
        <v>0</v>
      </c>
      <c r="J45" s="82">
        <f t="shared" si="12"/>
        <v>0</v>
      </c>
      <c r="K45" s="82">
        <f t="shared" si="12"/>
        <v>0</v>
      </c>
      <c r="L45" s="82">
        <f t="shared" si="12"/>
        <v>0</v>
      </c>
      <c r="M45" s="82">
        <f t="shared" si="12"/>
        <v>0</v>
      </c>
      <c r="N45" s="82">
        <f t="shared" si="12"/>
        <v>0</v>
      </c>
      <c r="O45" s="83">
        <f t="shared" si="12"/>
        <v>0</v>
      </c>
      <c r="P45" s="82">
        <f t="shared" si="13"/>
        <v>0</v>
      </c>
      <c r="Q45" s="82">
        <f t="shared" si="13"/>
        <v>0</v>
      </c>
      <c r="R45" s="82">
        <f t="shared" si="13"/>
        <v>0</v>
      </c>
      <c r="S45" s="82">
        <f t="shared" si="13"/>
        <v>0</v>
      </c>
      <c r="T45" s="82">
        <f t="shared" si="13"/>
        <v>0</v>
      </c>
      <c r="U45" s="83">
        <f t="shared" si="13"/>
        <v>0</v>
      </c>
    </row>
    <row r="46" spans="1:24" x14ac:dyDescent="0.25">
      <c r="A46" s="44">
        <v>0</v>
      </c>
      <c r="B46" s="18" t="s">
        <v>2</v>
      </c>
      <c r="C46" s="70">
        <v>2</v>
      </c>
      <c r="D46" s="81">
        <f t="shared" si="14"/>
        <v>0</v>
      </c>
      <c r="E46" s="82">
        <f t="shared" si="12"/>
        <v>0</v>
      </c>
      <c r="F46" s="82">
        <f t="shared" si="12"/>
        <v>0</v>
      </c>
      <c r="G46" s="82">
        <f t="shared" si="12"/>
        <v>0</v>
      </c>
      <c r="H46" s="82">
        <f t="shared" si="12"/>
        <v>0</v>
      </c>
      <c r="I46" s="83">
        <f t="shared" si="12"/>
        <v>0</v>
      </c>
      <c r="J46" s="82">
        <f t="shared" si="12"/>
        <v>0</v>
      </c>
      <c r="K46" s="82">
        <f t="shared" si="12"/>
        <v>0</v>
      </c>
      <c r="L46" s="82">
        <f t="shared" si="12"/>
        <v>0</v>
      </c>
      <c r="M46" s="82">
        <f t="shared" si="12"/>
        <v>0</v>
      </c>
      <c r="N46" s="82">
        <f t="shared" si="12"/>
        <v>0</v>
      </c>
      <c r="O46" s="83">
        <f t="shared" si="12"/>
        <v>0</v>
      </c>
      <c r="P46" s="82">
        <f t="shared" si="13"/>
        <v>0</v>
      </c>
      <c r="Q46" s="82">
        <f t="shared" si="13"/>
        <v>0</v>
      </c>
      <c r="R46" s="82">
        <f t="shared" si="13"/>
        <v>0</v>
      </c>
      <c r="S46" s="82">
        <f t="shared" si="13"/>
        <v>0</v>
      </c>
      <c r="T46" s="82">
        <f t="shared" si="13"/>
        <v>0</v>
      </c>
      <c r="U46" s="83">
        <f t="shared" si="13"/>
        <v>0</v>
      </c>
    </row>
    <row r="47" spans="1:24" x14ac:dyDescent="0.25">
      <c r="A47" s="44">
        <v>0</v>
      </c>
      <c r="B47" s="18" t="s">
        <v>2</v>
      </c>
      <c r="C47" s="70">
        <v>3</v>
      </c>
      <c r="D47" s="81">
        <f t="shared" si="14"/>
        <v>0</v>
      </c>
      <c r="E47" s="82">
        <f t="shared" si="12"/>
        <v>0</v>
      </c>
      <c r="F47" s="82">
        <f t="shared" si="12"/>
        <v>0</v>
      </c>
      <c r="G47" s="82">
        <f t="shared" si="12"/>
        <v>0</v>
      </c>
      <c r="H47" s="82">
        <f t="shared" si="12"/>
        <v>0</v>
      </c>
      <c r="I47" s="83">
        <f t="shared" si="12"/>
        <v>0</v>
      </c>
      <c r="J47" s="82">
        <f t="shared" si="12"/>
        <v>0</v>
      </c>
      <c r="K47" s="82">
        <f t="shared" si="12"/>
        <v>0</v>
      </c>
      <c r="L47" s="82">
        <f t="shared" si="12"/>
        <v>0</v>
      </c>
      <c r="M47" s="82">
        <f t="shared" si="12"/>
        <v>0</v>
      </c>
      <c r="N47" s="82">
        <f t="shared" si="12"/>
        <v>0</v>
      </c>
      <c r="O47" s="83">
        <f t="shared" si="12"/>
        <v>0</v>
      </c>
      <c r="P47" s="82">
        <f t="shared" si="13"/>
        <v>0</v>
      </c>
      <c r="Q47" s="82">
        <f t="shared" si="13"/>
        <v>0</v>
      </c>
      <c r="R47" s="82">
        <f t="shared" si="13"/>
        <v>0</v>
      </c>
      <c r="S47" s="82">
        <f t="shared" si="13"/>
        <v>0</v>
      </c>
      <c r="T47" s="82">
        <f t="shared" si="13"/>
        <v>0</v>
      </c>
      <c r="U47" s="83">
        <f t="shared" si="13"/>
        <v>0</v>
      </c>
    </row>
    <row r="48" spans="1:24" x14ac:dyDescent="0.25">
      <c r="A48" s="45">
        <v>0</v>
      </c>
      <c r="B48" s="19" t="s">
        <v>2</v>
      </c>
      <c r="C48" s="66">
        <v>5</v>
      </c>
      <c r="D48" s="84">
        <f t="shared" si="14"/>
        <v>0</v>
      </c>
      <c r="E48" s="85">
        <f t="shared" si="12"/>
        <v>0</v>
      </c>
      <c r="F48" s="85">
        <f t="shared" si="12"/>
        <v>0</v>
      </c>
      <c r="G48" s="85">
        <f t="shared" si="12"/>
        <v>0</v>
      </c>
      <c r="H48" s="85">
        <f t="shared" si="12"/>
        <v>0</v>
      </c>
      <c r="I48" s="86">
        <f t="shared" si="12"/>
        <v>0</v>
      </c>
      <c r="J48" s="85">
        <f t="shared" si="12"/>
        <v>0</v>
      </c>
      <c r="K48" s="85">
        <f t="shared" si="12"/>
        <v>0</v>
      </c>
      <c r="L48" s="85">
        <f t="shared" si="12"/>
        <v>0</v>
      </c>
      <c r="M48" s="85">
        <f t="shared" si="12"/>
        <v>0</v>
      </c>
      <c r="N48" s="85">
        <f t="shared" si="12"/>
        <v>0</v>
      </c>
      <c r="O48" s="86">
        <f t="shared" si="12"/>
        <v>0</v>
      </c>
      <c r="P48" s="85">
        <f t="shared" si="13"/>
        <v>0</v>
      </c>
      <c r="Q48" s="85">
        <f t="shared" si="13"/>
        <v>0</v>
      </c>
      <c r="R48" s="85">
        <f t="shared" si="13"/>
        <v>0</v>
      </c>
      <c r="S48" s="85">
        <f t="shared" si="13"/>
        <v>0</v>
      </c>
      <c r="T48" s="85">
        <f t="shared" si="13"/>
        <v>0</v>
      </c>
      <c r="U48" s="86">
        <f t="shared" si="13"/>
        <v>0</v>
      </c>
    </row>
    <row r="49" spans="1:21" x14ac:dyDescent="0.25">
      <c r="A49" s="44">
        <v>120208.15280171306</v>
      </c>
      <c r="B49" s="18" t="s">
        <v>3</v>
      </c>
      <c r="C49" s="69">
        <v>0.25</v>
      </c>
      <c r="D49" s="81">
        <f t="shared" si="14"/>
        <v>0</v>
      </c>
      <c r="E49" s="82">
        <f t="shared" si="12"/>
        <v>0</v>
      </c>
      <c r="F49" s="82">
        <f t="shared" si="12"/>
        <v>0</v>
      </c>
      <c r="G49" s="82">
        <f t="shared" si="12"/>
        <v>0</v>
      </c>
      <c r="H49" s="82">
        <f t="shared" si="12"/>
        <v>0</v>
      </c>
      <c r="I49" s="83">
        <f t="shared" si="12"/>
        <v>0</v>
      </c>
      <c r="J49" s="82">
        <f t="shared" si="12"/>
        <v>14449999999.999996</v>
      </c>
      <c r="K49" s="82">
        <f t="shared" si="12"/>
        <v>14449999999.999996</v>
      </c>
      <c r="L49" s="82">
        <f t="shared" si="12"/>
        <v>13599999999.999998</v>
      </c>
      <c r="M49" s="82">
        <f t="shared" si="12"/>
        <v>11049999999.999998</v>
      </c>
      <c r="N49" s="82">
        <f t="shared" si="12"/>
        <v>10199999999.999998</v>
      </c>
      <c r="O49" s="83">
        <f t="shared" si="12"/>
        <v>0</v>
      </c>
      <c r="P49" s="82">
        <f t="shared" si="13"/>
        <v>81599999999.999985</v>
      </c>
      <c r="Q49" s="82">
        <f t="shared" si="13"/>
        <v>0</v>
      </c>
      <c r="R49" s="82">
        <f t="shared" si="13"/>
        <v>0</v>
      </c>
      <c r="S49" s="82">
        <f t="shared" si="13"/>
        <v>0</v>
      </c>
      <c r="T49" s="82">
        <f t="shared" si="13"/>
        <v>0</v>
      </c>
      <c r="U49" s="83">
        <f t="shared" si="13"/>
        <v>0</v>
      </c>
    </row>
    <row r="50" spans="1:21" x14ac:dyDescent="0.25">
      <c r="A50" s="44">
        <v>120208.15280171306</v>
      </c>
      <c r="B50" s="18" t="s">
        <v>3</v>
      </c>
      <c r="C50" s="70">
        <v>0.5</v>
      </c>
      <c r="D50" s="81">
        <f t="shared" si="14"/>
        <v>0</v>
      </c>
      <c r="E50" s="82">
        <f t="shared" si="12"/>
        <v>0</v>
      </c>
      <c r="F50" s="82">
        <f t="shared" si="12"/>
        <v>0</v>
      </c>
      <c r="G50" s="82">
        <f t="shared" si="12"/>
        <v>0</v>
      </c>
      <c r="H50" s="82">
        <f t="shared" si="12"/>
        <v>0</v>
      </c>
      <c r="I50" s="83">
        <f t="shared" si="12"/>
        <v>0</v>
      </c>
      <c r="J50" s="82">
        <f t="shared" si="12"/>
        <v>14449999999.999996</v>
      </c>
      <c r="K50" s="82">
        <f t="shared" si="12"/>
        <v>14449999999.999996</v>
      </c>
      <c r="L50" s="82">
        <f t="shared" si="12"/>
        <v>13599999999.999998</v>
      </c>
      <c r="M50" s="82">
        <f t="shared" si="12"/>
        <v>11049999999.999998</v>
      </c>
      <c r="N50" s="82">
        <f t="shared" si="12"/>
        <v>10199999999.999998</v>
      </c>
      <c r="O50" s="83">
        <f t="shared" si="12"/>
        <v>0</v>
      </c>
      <c r="P50" s="82">
        <f t="shared" si="13"/>
        <v>81599999999.999985</v>
      </c>
      <c r="Q50" s="82">
        <f t="shared" si="13"/>
        <v>0</v>
      </c>
      <c r="R50" s="82">
        <f t="shared" si="13"/>
        <v>0</v>
      </c>
      <c r="S50" s="82">
        <f t="shared" si="13"/>
        <v>0</v>
      </c>
      <c r="T50" s="82">
        <f t="shared" si="13"/>
        <v>0</v>
      </c>
      <c r="U50" s="83">
        <f t="shared" si="13"/>
        <v>0</v>
      </c>
    </row>
    <row r="51" spans="1:21" x14ac:dyDescent="0.25">
      <c r="A51" s="44">
        <v>113137.0849898476</v>
      </c>
      <c r="B51" s="18" t="s">
        <v>3</v>
      </c>
      <c r="C51" s="70">
        <v>1</v>
      </c>
      <c r="D51" s="81">
        <f t="shared" si="14"/>
        <v>0</v>
      </c>
      <c r="E51" s="82">
        <f t="shared" si="12"/>
        <v>0</v>
      </c>
      <c r="F51" s="82">
        <f t="shared" si="12"/>
        <v>0</v>
      </c>
      <c r="G51" s="82">
        <f t="shared" si="12"/>
        <v>0</v>
      </c>
      <c r="H51" s="82">
        <f t="shared" si="12"/>
        <v>0</v>
      </c>
      <c r="I51" s="83">
        <f t="shared" si="12"/>
        <v>0</v>
      </c>
      <c r="J51" s="82">
        <f t="shared" si="12"/>
        <v>13599999999.999998</v>
      </c>
      <c r="K51" s="82">
        <f t="shared" si="12"/>
        <v>13599999999.999998</v>
      </c>
      <c r="L51" s="82">
        <f t="shared" si="12"/>
        <v>12800000000</v>
      </c>
      <c r="M51" s="82">
        <f t="shared" si="12"/>
        <v>10400000000</v>
      </c>
      <c r="N51" s="82">
        <f t="shared" si="12"/>
        <v>9600000000</v>
      </c>
      <c r="O51" s="83">
        <f t="shared" si="12"/>
        <v>0</v>
      </c>
      <c r="P51" s="82">
        <f t="shared" si="13"/>
        <v>76800000000</v>
      </c>
      <c r="Q51" s="82">
        <f t="shared" si="13"/>
        <v>0</v>
      </c>
      <c r="R51" s="82">
        <f t="shared" si="13"/>
        <v>0</v>
      </c>
      <c r="S51" s="82">
        <f t="shared" si="13"/>
        <v>0</v>
      </c>
      <c r="T51" s="82">
        <f t="shared" si="13"/>
        <v>0</v>
      </c>
      <c r="U51" s="83">
        <f t="shared" si="13"/>
        <v>0</v>
      </c>
    </row>
    <row r="52" spans="1:21" x14ac:dyDescent="0.25">
      <c r="A52" s="44">
        <v>91923.881554251173</v>
      </c>
      <c r="B52" s="18" t="s">
        <v>3</v>
      </c>
      <c r="C52" s="70">
        <v>2</v>
      </c>
      <c r="D52" s="81">
        <f t="shared" si="14"/>
        <v>0</v>
      </c>
      <c r="E52" s="82">
        <f t="shared" si="12"/>
        <v>0</v>
      </c>
      <c r="F52" s="82">
        <f t="shared" si="12"/>
        <v>0</v>
      </c>
      <c r="G52" s="82">
        <f t="shared" si="12"/>
        <v>0</v>
      </c>
      <c r="H52" s="82">
        <f t="shared" si="12"/>
        <v>0</v>
      </c>
      <c r="I52" s="83">
        <f t="shared" si="12"/>
        <v>0</v>
      </c>
      <c r="J52" s="82">
        <f t="shared" si="12"/>
        <v>11049999999.999998</v>
      </c>
      <c r="K52" s="82">
        <f t="shared" si="12"/>
        <v>11049999999.999998</v>
      </c>
      <c r="L52" s="82">
        <f t="shared" si="12"/>
        <v>10400000000</v>
      </c>
      <c r="M52" s="82">
        <f t="shared" si="12"/>
        <v>8449999999.999999</v>
      </c>
      <c r="N52" s="82">
        <f t="shared" si="12"/>
        <v>7799999999.999999</v>
      </c>
      <c r="O52" s="83">
        <f t="shared" si="12"/>
        <v>0</v>
      </c>
      <c r="P52" s="82">
        <f t="shared" si="13"/>
        <v>62399999999.999992</v>
      </c>
      <c r="Q52" s="82">
        <f t="shared" si="13"/>
        <v>0</v>
      </c>
      <c r="R52" s="82">
        <f t="shared" si="13"/>
        <v>0</v>
      </c>
      <c r="S52" s="82">
        <f t="shared" si="13"/>
        <v>0</v>
      </c>
      <c r="T52" s="82">
        <f t="shared" si="13"/>
        <v>0</v>
      </c>
      <c r="U52" s="83">
        <f t="shared" si="13"/>
        <v>0</v>
      </c>
    </row>
    <row r="53" spans="1:21" x14ac:dyDescent="0.25">
      <c r="A53" s="44">
        <v>84852.813742385697</v>
      </c>
      <c r="B53" s="18" t="s">
        <v>3</v>
      </c>
      <c r="C53" s="70">
        <v>3</v>
      </c>
      <c r="D53" s="81">
        <f t="shared" si="14"/>
        <v>0</v>
      </c>
      <c r="E53" s="82">
        <f t="shared" si="12"/>
        <v>0</v>
      </c>
      <c r="F53" s="82">
        <f t="shared" si="12"/>
        <v>0</v>
      </c>
      <c r="G53" s="82">
        <f t="shared" si="12"/>
        <v>0</v>
      </c>
      <c r="H53" s="82">
        <f t="shared" si="12"/>
        <v>0</v>
      </c>
      <c r="I53" s="83">
        <f t="shared" si="12"/>
        <v>0</v>
      </c>
      <c r="J53" s="82">
        <f t="shared" si="12"/>
        <v>10199999999.999998</v>
      </c>
      <c r="K53" s="82">
        <f t="shared" si="12"/>
        <v>10199999999.999998</v>
      </c>
      <c r="L53" s="82">
        <f t="shared" si="12"/>
        <v>9600000000</v>
      </c>
      <c r="M53" s="82">
        <f t="shared" si="12"/>
        <v>7799999999.999999</v>
      </c>
      <c r="N53" s="82">
        <f t="shared" si="12"/>
        <v>7199999999.999999</v>
      </c>
      <c r="O53" s="83">
        <f t="shared" si="12"/>
        <v>0</v>
      </c>
      <c r="P53" s="82">
        <f t="shared" si="13"/>
        <v>57599999999.999992</v>
      </c>
      <c r="Q53" s="82">
        <f t="shared" si="13"/>
        <v>0</v>
      </c>
      <c r="R53" s="82">
        <f t="shared" si="13"/>
        <v>0</v>
      </c>
      <c r="S53" s="82">
        <f t="shared" si="13"/>
        <v>0</v>
      </c>
      <c r="T53" s="82">
        <f t="shared" si="13"/>
        <v>0</v>
      </c>
      <c r="U53" s="83">
        <f t="shared" si="13"/>
        <v>0</v>
      </c>
    </row>
    <row r="54" spans="1:21" x14ac:dyDescent="0.25">
      <c r="A54" s="45">
        <v>0</v>
      </c>
      <c r="B54" s="19" t="s">
        <v>3</v>
      </c>
      <c r="C54" s="66">
        <v>5</v>
      </c>
      <c r="D54" s="84">
        <f t="shared" si="14"/>
        <v>0</v>
      </c>
      <c r="E54" s="85">
        <f t="shared" si="12"/>
        <v>0</v>
      </c>
      <c r="F54" s="85">
        <f t="shared" si="12"/>
        <v>0</v>
      </c>
      <c r="G54" s="85">
        <f t="shared" si="12"/>
        <v>0</v>
      </c>
      <c r="H54" s="85">
        <f t="shared" si="12"/>
        <v>0</v>
      </c>
      <c r="I54" s="86">
        <f t="shared" si="12"/>
        <v>0</v>
      </c>
      <c r="J54" s="85">
        <f t="shared" si="12"/>
        <v>0</v>
      </c>
      <c r="K54" s="85">
        <f t="shared" si="12"/>
        <v>0</v>
      </c>
      <c r="L54" s="85">
        <f t="shared" si="12"/>
        <v>0</v>
      </c>
      <c r="M54" s="85">
        <f t="shared" si="12"/>
        <v>0</v>
      </c>
      <c r="N54" s="85">
        <f t="shared" si="12"/>
        <v>0</v>
      </c>
      <c r="O54" s="86">
        <f t="shared" si="12"/>
        <v>0</v>
      </c>
      <c r="P54" s="85">
        <f t="shared" si="13"/>
        <v>0</v>
      </c>
      <c r="Q54" s="85">
        <f t="shared" si="13"/>
        <v>0</v>
      </c>
      <c r="R54" s="85">
        <f t="shared" si="13"/>
        <v>0</v>
      </c>
      <c r="S54" s="85">
        <f t="shared" si="13"/>
        <v>0</v>
      </c>
      <c r="T54" s="85">
        <f t="shared" si="13"/>
        <v>0</v>
      </c>
      <c r="U54" s="86">
        <f t="shared" si="13"/>
        <v>0</v>
      </c>
    </row>
    <row r="55" spans="1:21" x14ac:dyDescent="0.25">
      <c r="A55" s="44">
        <v>678822.50993908558</v>
      </c>
      <c r="B55" s="18" t="s">
        <v>8</v>
      </c>
      <c r="C55" s="69">
        <v>0.25</v>
      </c>
      <c r="D55" s="81">
        <f t="shared" si="14"/>
        <v>0</v>
      </c>
      <c r="E55" s="82">
        <f t="shared" si="14"/>
        <v>0</v>
      </c>
      <c r="F55" s="82">
        <f t="shared" si="14"/>
        <v>0</v>
      </c>
      <c r="G55" s="82">
        <f t="shared" si="14"/>
        <v>0</v>
      </c>
      <c r="H55" s="82">
        <f t="shared" si="14"/>
        <v>0</v>
      </c>
      <c r="I55" s="83">
        <f t="shared" si="14"/>
        <v>0</v>
      </c>
      <c r="J55" s="82">
        <f t="shared" si="14"/>
        <v>81599999999.999985</v>
      </c>
      <c r="K55" s="82">
        <f t="shared" si="14"/>
        <v>81599999999.999985</v>
      </c>
      <c r="L55" s="82">
        <f t="shared" si="14"/>
        <v>76800000000</v>
      </c>
      <c r="M55" s="82">
        <f t="shared" si="14"/>
        <v>62399999999.999992</v>
      </c>
      <c r="N55" s="82">
        <f t="shared" si="14"/>
        <v>57599999999.999992</v>
      </c>
      <c r="O55" s="83">
        <f t="shared" si="14"/>
        <v>0</v>
      </c>
      <c r="P55" s="82">
        <f t="shared" si="13"/>
        <v>460799999999.99994</v>
      </c>
      <c r="Q55" s="82">
        <f t="shared" si="13"/>
        <v>0</v>
      </c>
      <c r="R55" s="82">
        <f t="shared" si="13"/>
        <v>0</v>
      </c>
      <c r="S55" s="82">
        <f t="shared" si="13"/>
        <v>0</v>
      </c>
      <c r="T55" s="82">
        <f t="shared" si="13"/>
        <v>0</v>
      </c>
      <c r="U55" s="83">
        <f t="shared" si="13"/>
        <v>0</v>
      </c>
    </row>
    <row r="56" spans="1:21" x14ac:dyDescent="0.25">
      <c r="A56" s="44">
        <v>0</v>
      </c>
      <c r="B56" s="18" t="s">
        <v>8</v>
      </c>
      <c r="C56" s="70">
        <v>0.5</v>
      </c>
      <c r="D56" s="81">
        <f t="shared" si="14"/>
        <v>0</v>
      </c>
      <c r="E56" s="82">
        <f t="shared" si="14"/>
        <v>0</v>
      </c>
      <c r="F56" s="82">
        <f t="shared" si="14"/>
        <v>0</v>
      </c>
      <c r="G56" s="82">
        <f t="shared" si="14"/>
        <v>0</v>
      </c>
      <c r="H56" s="82">
        <f t="shared" si="14"/>
        <v>0</v>
      </c>
      <c r="I56" s="83">
        <f t="shared" si="14"/>
        <v>0</v>
      </c>
      <c r="J56" s="82">
        <f t="shared" si="14"/>
        <v>0</v>
      </c>
      <c r="K56" s="82">
        <f t="shared" si="14"/>
        <v>0</v>
      </c>
      <c r="L56" s="82">
        <f t="shared" si="14"/>
        <v>0</v>
      </c>
      <c r="M56" s="82">
        <f t="shared" si="14"/>
        <v>0</v>
      </c>
      <c r="N56" s="82">
        <f t="shared" si="14"/>
        <v>0</v>
      </c>
      <c r="O56" s="83">
        <f t="shared" si="14"/>
        <v>0</v>
      </c>
      <c r="P56" s="82">
        <f t="shared" si="13"/>
        <v>0</v>
      </c>
      <c r="Q56" s="82">
        <f t="shared" si="13"/>
        <v>0</v>
      </c>
      <c r="R56" s="82">
        <f t="shared" si="13"/>
        <v>0</v>
      </c>
      <c r="S56" s="82">
        <f t="shared" si="13"/>
        <v>0</v>
      </c>
      <c r="T56" s="82">
        <f t="shared" si="13"/>
        <v>0</v>
      </c>
      <c r="U56" s="83">
        <f t="shared" si="13"/>
        <v>0</v>
      </c>
    </row>
    <row r="57" spans="1:21" x14ac:dyDescent="0.25">
      <c r="A57" s="44">
        <v>0</v>
      </c>
      <c r="B57" s="18" t="s">
        <v>8</v>
      </c>
      <c r="C57" s="70">
        <v>1</v>
      </c>
      <c r="D57" s="81">
        <f t="shared" si="14"/>
        <v>0</v>
      </c>
      <c r="E57" s="82">
        <f t="shared" si="14"/>
        <v>0</v>
      </c>
      <c r="F57" s="82">
        <f t="shared" si="14"/>
        <v>0</v>
      </c>
      <c r="G57" s="82">
        <f t="shared" si="14"/>
        <v>0</v>
      </c>
      <c r="H57" s="82">
        <f t="shared" si="14"/>
        <v>0</v>
      </c>
      <c r="I57" s="83">
        <f t="shared" si="14"/>
        <v>0</v>
      </c>
      <c r="J57" s="82">
        <f t="shared" si="14"/>
        <v>0</v>
      </c>
      <c r="K57" s="82">
        <f t="shared" si="14"/>
        <v>0</v>
      </c>
      <c r="L57" s="82">
        <f t="shared" si="14"/>
        <v>0</v>
      </c>
      <c r="M57" s="82">
        <f t="shared" si="14"/>
        <v>0</v>
      </c>
      <c r="N57" s="82">
        <f t="shared" si="14"/>
        <v>0</v>
      </c>
      <c r="O57" s="83">
        <f t="shared" si="14"/>
        <v>0</v>
      </c>
      <c r="P57" s="82">
        <f t="shared" si="13"/>
        <v>0</v>
      </c>
      <c r="Q57" s="82">
        <f t="shared" si="13"/>
        <v>0</v>
      </c>
      <c r="R57" s="82">
        <f t="shared" si="13"/>
        <v>0</v>
      </c>
      <c r="S57" s="82">
        <f t="shared" si="13"/>
        <v>0</v>
      </c>
      <c r="T57" s="82">
        <f t="shared" si="13"/>
        <v>0</v>
      </c>
      <c r="U57" s="83">
        <f t="shared" si="13"/>
        <v>0</v>
      </c>
    </row>
    <row r="58" spans="1:21" x14ac:dyDescent="0.25">
      <c r="A58" s="44">
        <v>0</v>
      </c>
      <c r="B58" s="18" t="s">
        <v>8</v>
      </c>
      <c r="C58" s="70">
        <v>2</v>
      </c>
      <c r="D58" s="81">
        <f t="shared" si="14"/>
        <v>0</v>
      </c>
      <c r="E58" s="82">
        <f t="shared" si="14"/>
        <v>0</v>
      </c>
      <c r="F58" s="82">
        <f t="shared" si="14"/>
        <v>0</v>
      </c>
      <c r="G58" s="82">
        <f t="shared" si="14"/>
        <v>0</v>
      </c>
      <c r="H58" s="82">
        <f t="shared" si="14"/>
        <v>0</v>
      </c>
      <c r="I58" s="83">
        <f t="shared" si="14"/>
        <v>0</v>
      </c>
      <c r="J58" s="82">
        <f t="shared" si="14"/>
        <v>0</v>
      </c>
      <c r="K58" s="82">
        <f t="shared" si="14"/>
        <v>0</v>
      </c>
      <c r="L58" s="82">
        <f t="shared" si="14"/>
        <v>0</v>
      </c>
      <c r="M58" s="82">
        <f t="shared" si="14"/>
        <v>0</v>
      </c>
      <c r="N58" s="82">
        <f t="shared" si="14"/>
        <v>0</v>
      </c>
      <c r="O58" s="83">
        <f t="shared" si="14"/>
        <v>0</v>
      </c>
      <c r="P58" s="82">
        <f t="shared" si="13"/>
        <v>0</v>
      </c>
      <c r="Q58" s="82">
        <f t="shared" si="13"/>
        <v>0</v>
      </c>
      <c r="R58" s="82">
        <f t="shared" si="13"/>
        <v>0</v>
      </c>
      <c r="S58" s="82">
        <f t="shared" si="13"/>
        <v>0</v>
      </c>
      <c r="T58" s="82">
        <f t="shared" si="13"/>
        <v>0</v>
      </c>
      <c r="U58" s="83">
        <f t="shared" si="13"/>
        <v>0</v>
      </c>
    </row>
    <row r="59" spans="1:21" x14ac:dyDescent="0.25">
      <c r="A59" s="44">
        <v>0</v>
      </c>
      <c r="B59" s="18" t="s">
        <v>8</v>
      </c>
      <c r="C59" s="70">
        <v>3</v>
      </c>
      <c r="D59" s="81">
        <f t="shared" si="14"/>
        <v>0</v>
      </c>
      <c r="E59" s="82">
        <f t="shared" si="14"/>
        <v>0</v>
      </c>
      <c r="F59" s="82">
        <f t="shared" si="14"/>
        <v>0</v>
      </c>
      <c r="G59" s="82">
        <f t="shared" si="14"/>
        <v>0</v>
      </c>
      <c r="H59" s="82">
        <f t="shared" si="14"/>
        <v>0</v>
      </c>
      <c r="I59" s="83">
        <f t="shared" si="14"/>
        <v>0</v>
      </c>
      <c r="J59" s="82">
        <f t="shared" si="14"/>
        <v>0</v>
      </c>
      <c r="K59" s="82">
        <f t="shared" si="14"/>
        <v>0</v>
      </c>
      <c r="L59" s="82">
        <f t="shared" si="14"/>
        <v>0</v>
      </c>
      <c r="M59" s="82">
        <f t="shared" si="14"/>
        <v>0</v>
      </c>
      <c r="N59" s="82">
        <f t="shared" si="14"/>
        <v>0</v>
      </c>
      <c r="O59" s="83">
        <f t="shared" si="14"/>
        <v>0</v>
      </c>
      <c r="P59" s="82">
        <f t="shared" si="13"/>
        <v>0</v>
      </c>
      <c r="Q59" s="82">
        <f t="shared" si="13"/>
        <v>0</v>
      </c>
      <c r="R59" s="82">
        <f t="shared" si="13"/>
        <v>0</v>
      </c>
      <c r="S59" s="82">
        <f t="shared" si="13"/>
        <v>0</v>
      </c>
      <c r="T59" s="82">
        <f t="shared" si="13"/>
        <v>0</v>
      </c>
      <c r="U59" s="83">
        <f t="shared" si="13"/>
        <v>0</v>
      </c>
    </row>
    <row r="60" spans="1:21" x14ac:dyDescent="0.25">
      <c r="A60" s="45">
        <v>0</v>
      </c>
      <c r="B60" s="19" t="s">
        <v>8</v>
      </c>
      <c r="C60" s="66">
        <v>5</v>
      </c>
      <c r="D60" s="84">
        <f t="shared" ref="D60:O60" si="15">+$A60*D$40</f>
        <v>0</v>
      </c>
      <c r="E60" s="85">
        <f t="shared" si="15"/>
        <v>0</v>
      </c>
      <c r="F60" s="85">
        <f t="shared" si="15"/>
        <v>0</v>
      </c>
      <c r="G60" s="85">
        <f t="shared" si="15"/>
        <v>0</v>
      </c>
      <c r="H60" s="85">
        <f t="shared" si="15"/>
        <v>0</v>
      </c>
      <c r="I60" s="86">
        <f t="shared" si="15"/>
        <v>0</v>
      </c>
      <c r="J60" s="85">
        <f t="shared" si="15"/>
        <v>0</v>
      </c>
      <c r="K60" s="85">
        <f t="shared" si="15"/>
        <v>0</v>
      </c>
      <c r="L60" s="85">
        <f t="shared" si="15"/>
        <v>0</v>
      </c>
      <c r="M60" s="85">
        <f t="shared" si="15"/>
        <v>0</v>
      </c>
      <c r="N60" s="85">
        <f t="shared" si="15"/>
        <v>0</v>
      </c>
      <c r="O60" s="86">
        <f t="shared" si="15"/>
        <v>0</v>
      </c>
      <c r="P60" s="85">
        <f t="shared" si="13"/>
        <v>0</v>
      </c>
      <c r="Q60" s="85">
        <f t="shared" si="13"/>
        <v>0</v>
      </c>
      <c r="R60" s="85">
        <f t="shared" si="13"/>
        <v>0</v>
      </c>
      <c r="S60" s="85">
        <f t="shared" si="13"/>
        <v>0</v>
      </c>
      <c r="T60" s="85">
        <f t="shared" si="13"/>
        <v>0</v>
      </c>
      <c r="U60" s="86">
        <f t="shared" si="13"/>
        <v>0</v>
      </c>
    </row>
    <row r="61" spans="1:21" x14ac:dyDescent="0.25">
      <c r="P61" s="13"/>
      <c r="Q61" s="13"/>
      <c r="R61" s="13"/>
      <c r="S61" s="13"/>
      <c r="T61" s="13"/>
      <c r="U61" s="13"/>
    </row>
    <row r="63" spans="1:21" ht="15.75" x14ac:dyDescent="0.25">
      <c r="A63" s="1" t="s">
        <v>18</v>
      </c>
      <c r="C63" s="87">
        <f>+SQRT(SUMPRODUCT(D21:U38,D43:U60))</f>
        <v>1039914.4642629992</v>
      </c>
    </row>
    <row r="64" spans="1:21" x14ac:dyDescent="0.25">
      <c r="A64" s="1" t="s">
        <v>19</v>
      </c>
      <c r="B64" s="46">
        <f>+correlaciones!$Y$2</f>
        <v>1</v>
      </c>
    </row>
  </sheetData>
  <dataValidations count="1">
    <dataValidation type="list" allowBlank="1" showInputMessage="1" showErrorMessage="1" sqref="A10" xr:uid="{00000000-0002-0000-0500-000000000000}">
      <formula1>"SI,NO"</formula1>
    </dataValidation>
  </dataValidations>
  <pageMargins left="0.7" right="0.7" top="0.75" bottom="0.75" header="0.3" footer="0.3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64"/>
  <sheetViews>
    <sheetView showGridLines="0" zoomScale="85" zoomScaleNormal="85" workbookViewId="0"/>
  </sheetViews>
  <sheetFormatPr defaultColWidth="8.85546875" defaultRowHeight="15" x14ac:dyDescent="0.25"/>
  <cols>
    <col min="1" max="1" width="14.42578125" customWidth="1"/>
    <col min="2" max="2" width="12.7109375" bestFit="1" customWidth="1"/>
    <col min="3" max="3" width="15" customWidth="1"/>
    <col min="4" max="8" width="20.5703125" bestFit="1" customWidth="1"/>
    <col min="9" max="9" width="6.7109375" bestFit="1" customWidth="1"/>
    <col min="10" max="14" width="20.5703125" bestFit="1" customWidth="1"/>
    <col min="15" max="15" width="6.7109375" bestFit="1" customWidth="1"/>
    <col min="16" max="16" width="20.5703125" bestFit="1" customWidth="1"/>
    <col min="17" max="21" width="13.7109375" bestFit="1" customWidth="1"/>
  </cols>
  <sheetData>
    <row r="1" spans="1:9" ht="15.75" x14ac:dyDescent="0.25">
      <c r="A1" s="16" t="s">
        <v>37</v>
      </c>
    </row>
    <row r="2" spans="1:9" ht="15.75" x14ac:dyDescent="0.25">
      <c r="A2" s="16"/>
    </row>
    <row r="3" spans="1:9" x14ac:dyDescent="0.25">
      <c r="A3" s="7" t="s">
        <v>12</v>
      </c>
    </row>
    <row r="4" spans="1:9" x14ac:dyDescent="0.25">
      <c r="C4" s="20" t="s">
        <v>1</v>
      </c>
      <c r="D4" s="21">
        <v>0.25</v>
      </c>
      <c r="E4" s="21">
        <v>0.5</v>
      </c>
      <c r="F4" s="21">
        <v>1</v>
      </c>
      <c r="G4" s="21">
        <v>2</v>
      </c>
      <c r="H4" s="21">
        <v>3</v>
      </c>
      <c r="I4" s="22">
        <v>5</v>
      </c>
    </row>
    <row r="5" spans="1:9" x14ac:dyDescent="0.25">
      <c r="A5" s="20" t="s">
        <v>23</v>
      </c>
      <c r="B5" s="22" t="s">
        <v>2</v>
      </c>
      <c r="D5" s="53">
        <v>10000</v>
      </c>
      <c r="E5" s="53">
        <v>10000</v>
      </c>
      <c r="F5" s="53">
        <v>10000</v>
      </c>
      <c r="G5" s="53">
        <v>10000</v>
      </c>
      <c r="H5" s="53">
        <v>10000</v>
      </c>
      <c r="I5" s="53"/>
    </row>
    <row r="6" spans="1:9" x14ac:dyDescent="0.25">
      <c r="A6" s="20" t="s">
        <v>24</v>
      </c>
      <c r="B6" s="22" t="s">
        <v>3</v>
      </c>
      <c r="D6" s="54">
        <v>10000</v>
      </c>
      <c r="E6" s="54">
        <v>10000</v>
      </c>
      <c r="F6" s="54">
        <v>10000</v>
      </c>
      <c r="G6" s="54">
        <v>10000</v>
      </c>
      <c r="H6" s="54">
        <v>10000</v>
      </c>
      <c r="I6" s="54"/>
    </row>
    <row r="7" spans="1:9" x14ac:dyDescent="0.25">
      <c r="A7" s="20" t="s">
        <v>33</v>
      </c>
      <c r="B7" s="22" t="s">
        <v>8</v>
      </c>
      <c r="D7" s="35">
        <v>10000</v>
      </c>
      <c r="E7" s="35"/>
      <c r="F7" s="35"/>
      <c r="G7" s="35"/>
      <c r="H7" s="35"/>
      <c r="I7" s="35"/>
    </row>
    <row r="9" spans="1:9" x14ac:dyDescent="0.25">
      <c r="A9" s="7" t="s">
        <v>14</v>
      </c>
    </row>
    <row r="10" spans="1:9" x14ac:dyDescent="0.25">
      <c r="A10" s="23" t="s">
        <v>13</v>
      </c>
      <c r="C10" s="20" t="s">
        <v>1</v>
      </c>
      <c r="D10" s="21">
        <v>0.25</v>
      </c>
      <c r="E10" s="21">
        <v>0.5</v>
      </c>
      <c r="F10" s="21">
        <v>1</v>
      </c>
      <c r="G10" s="21">
        <v>2</v>
      </c>
      <c r="H10" s="21">
        <v>3</v>
      </c>
      <c r="I10" s="22">
        <v>5</v>
      </c>
    </row>
    <row r="11" spans="1:9" x14ac:dyDescent="0.25">
      <c r="A11">
        <f>+IF(A10="SI",SQRT(2),1)</f>
        <v>1.4142135623730951</v>
      </c>
      <c r="C11" s="33" t="s">
        <v>29</v>
      </c>
      <c r="D11" s="33">
        <v>170</v>
      </c>
      <c r="E11" s="33">
        <v>170</v>
      </c>
      <c r="F11" s="33">
        <v>160</v>
      </c>
      <c r="G11" s="33">
        <v>130</v>
      </c>
      <c r="H11" s="33">
        <v>120</v>
      </c>
      <c r="I11" s="33">
        <v>110</v>
      </c>
    </row>
    <row r="12" spans="1:9" x14ac:dyDescent="0.25">
      <c r="C12" s="34" t="s">
        <v>30</v>
      </c>
      <c r="D12" s="34">
        <f>+D11/$A$11</f>
        <v>120.20815280171307</v>
      </c>
      <c r="E12" s="34">
        <f t="shared" ref="E12:I12" si="0">+E11/$A$11</f>
        <v>120.20815280171307</v>
      </c>
      <c r="F12" s="34">
        <f t="shared" si="0"/>
        <v>113.13708498984759</v>
      </c>
      <c r="G12" s="34">
        <f t="shared" si="0"/>
        <v>91.923881554251167</v>
      </c>
      <c r="H12" s="34">
        <f t="shared" si="0"/>
        <v>84.852813742385692</v>
      </c>
      <c r="I12" s="34">
        <f t="shared" si="0"/>
        <v>77.781745930520216</v>
      </c>
    </row>
    <row r="14" spans="1:9" x14ac:dyDescent="0.25">
      <c r="A14" s="7" t="s">
        <v>15</v>
      </c>
      <c r="B14" s="20" t="s">
        <v>23</v>
      </c>
      <c r="C14" s="22" t="s">
        <v>2</v>
      </c>
      <c r="D14" s="75">
        <f t="shared" ref="D14:I14" si="1">+D12*D5</f>
        <v>1202081.5280171307</v>
      </c>
      <c r="E14" s="76">
        <f t="shared" si="1"/>
        <v>1202081.5280171307</v>
      </c>
      <c r="F14" s="76">
        <f t="shared" si="1"/>
        <v>1131370.8498984759</v>
      </c>
      <c r="G14" s="76">
        <f t="shared" si="1"/>
        <v>919238.81554251164</v>
      </c>
      <c r="H14" s="76">
        <f t="shared" si="1"/>
        <v>848528.13742385688</v>
      </c>
      <c r="I14" s="76">
        <f t="shared" si="1"/>
        <v>0</v>
      </c>
    </row>
    <row r="15" spans="1:9" x14ac:dyDescent="0.25">
      <c r="A15" s="7"/>
      <c r="B15" s="20" t="s">
        <v>24</v>
      </c>
      <c r="C15" s="22" t="s">
        <v>3</v>
      </c>
      <c r="D15" s="88">
        <f>+D12*D6</f>
        <v>1202081.5280171307</v>
      </c>
      <c r="E15" s="88">
        <f t="shared" ref="E15:I15" si="2">+E12*E6</f>
        <v>1202081.5280171307</v>
      </c>
      <c r="F15" s="88">
        <f t="shared" si="2"/>
        <v>1131370.8498984759</v>
      </c>
      <c r="G15" s="88">
        <f t="shared" si="2"/>
        <v>919238.81554251164</v>
      </c>
      <c r="H15" s="88">
        <f t="shared" si="2"/>
        <v>848528.13742385688</v>
      </c>
      <c r="I15" s="88">
        <f t="shared" si="2"/>
        <v>0</v>
      </c>
    </row>
    <row r="16" spans="1:9" x14ac:dyDescent="0.25">
      <c r="A16" s="7"/>
      <c r="B16" s="20" t="s">
        <v>33</v>
      </c>
      <c r="C16" s="22" t="s">
        <v>8</v>
      </c>
      <c r="D16" s="89">
        <f>+SUM(D7:I7)*160/A11</f>
        <v>1131370.8498984759</v>
      </c>
      <c r="E16" s="90">
        <v>0</v>
      </c>
      <c r="F16" s="90">
        <v>0</v>
      </c>
      <c r="G16" s="90">
        <v>0</v>
      </c>
      <c r="H16" s="90">
        <v>0</v>
      </c>
      <c r="I16" s="90">
        <v>0</v>
      </c>
    </row>
    <row r="18" spans="1:21" x14ac:dyDescent="0.25">
      <c r="A18" s="7" t="s">
        <v>16</v>
      </c>
      <c r="D18" s="47" t="s">
        <v>25</v>
      </c>
      <c r="E18" s="48" t="s">
        <v>25</v>
      </c>
      <c r="F18" s="48" t="s">
        <v>25</v>
      </c>
      <c r="G18" s="48" t="s">
        <v>25</v>
      </c>
      <c r="H18" s="48" t="s">
        <v>25</v>
      </c>
      <c r="I18" s="49" t="s">
        <v>25</v>
      </c>
      <c r="J18" s="48" t="s">
        <v>26</v>
      </c>
      <c r="K18" s="48" t="s">
        <v>26</v>
      </c>
      <c r="L18" s="48" t="s">
        <v>26</v>
      </c>
      <c r="M18" s="48" t="s">
        <v>26</v>
      </c>
      <c r="N18" s="48" t="s">
        <v>26</v>
      </c>
      <c r="O18" s="49" t="s">
        <v>26</v>
      </c>
      <c r="P18" s="48" t="s">
        <v>33</v>
      </c>
      <c r="Q18" s="48" t="s">
        <v>33</v>
      </c>
      <c r="R18" s="48" t="s">
        <v>33</v>
      </c>
      <c r="S18" s="48" t="s">
        <v>33</v>
      </c>
      <c r="T18" s="48" t="s">
        <v>33</v>
      </c>
      <c r="U18" s="49" t="s">
        <v>33</v>
      </c>
    </row>
    <row r="19" spans="1:21" x14ac:dyDescent="0.25">
      <c r="C19" s="20" t="s">
        <v>0</v>
      </c>
      <c r="D19" s="21" t="str">
        <f t="array" ref="D19:I19">+TRANSPOSE(B21:B26)</f>
        <v>1M</v>
      </c>
      <c r="E19" s="21" t="str">
        <v>1M</v>
      </c>
      <c r="F19" s="21" t="str">
        <v>1M</v>
      </c>
      <c r="G19" s="21" t="str">
        <v>1M</v>
      </c>
      <c r="H19" s="21" t="str">
        <v>1M</v>
      </c>
      <c r="I19" s="22" t="str">
        <v>1M</v>
      </c>
      <c r="J19" s="21" t="s">
        <v>3</v>
      </c>
      <c r="K19" s="21" t="s">
        <v>3</v>
      </c>
      <c r="L19" s="21" t="s">
        <v>3</v>
      </c>
      <c r="M19" s="21" t="s">
        <v>3</v>
      </c>
      <c r="N19" s="21" t="s">
        <v>3</v>
      </c>
      <c r="O19" s="22" t="s">
        <v>3</v>
      </c>
      <c r="P19" s="21" t="s">
        <v>8</v>
      </c>
      <c r="Q19" s="21" t="s">
        <v>8</v>
      </c>
      <c r="R19" s="21" t="s">
        <v>8</v>
      </c>
      <c r="S19" s="21" t="s">
        <v>8</v>
      </c>
      <c r="T19" s="21" t="s">
        <v>8</v>
      </c>
      <c r="U19" s="22" t="s">
        <v>8</v>
      </c>
    </row>
    <row r="20" spans="1:21" x14ac:dyDescent="0.25">
      <c r="B20" s="17" t="s">
        <v>0</v>
      </c>
      <c r="C20" s="66" t="s">
        <v>1</v>
      </c>
      <c r="D20" s="67">
        <f t="array" ref="D20:I20">+TRANSPOSE(C21:C26)</f>
        <v>0.25</v>
      </c>
      <c r="E20" s="67">
        <v>0.5</v>
      </c>
      <c r="F20" s="67">
        <v>1</v>
      </c>
      <c r="G20" s="67">
        <v>2</v>
      </c>
      <c r="H20" s="67">
        <v>3</v>
      </c>
      <c r="I20" s="68">
        <v>5</v>
      </c>
      <c r="J20" s="67">
        <v>0.25</v>
      </c>
      <c r="K20" s="67">
        <v>0.5</v>
      </c>
      <c r="L20" s="67">
        <v>1</v>
      </c>
      <c r="M20" s="67">
        <v>2</v>
      </c>
      <c r="N20" s="67">
        <v>3</v>
      </c>
      <c r="O20" s="68">
        <v>5</v>
      </c>
      <c r="P20" s="67">
        <v>0.25</v>
      </c>
      <c r="Q20" s="67">
        <v>0.5</v>
      </c>
      <c r="R20" s="67">
        <v>1</v>
      </c>
      <c r="S20" s="67">
        <v>2</v>
      </c>
      <c r="T20" s="67">
        <v>3</v>
      </c>
      <c r="U20" s="68">
        <v>5</v>
      </c>
    </row>
    <row r="21" spans="1:21" x14ac:dyDescent="0.25">
      <c r="A21" s="50" t="s">
        <v>25</v>
      </c>
      <c r="B21" s="18" t="s">
        <v>2</v>
      </c>
      <c r="C21" s="69">
        <v>0.25</v>
      </c>
      <c r="D21" s="24">
        <f>+correlaciones!Z14</f>
        <v>1</v>
      </c>
      <c r="E21" s="25">
        <f>+correlaciones!AA14</f>
        <v>0.97044553354850815</v>
      </c>
      <c r="F21" s="25">
        <f>+correlaciones!AB14</f>
        <v>0.91393118527122819</v>
      </c>
      <c r="G21" s="25">
        <f>+correlaciones!AC14</f>
        <v>0.81058424597018708</v>
      </c>
      <c r="H21" s="25">
        <f>+correlaciones!AD14</f>
        <v>0.71892373343192617</v>
      </c>
      <c r="I21" s="26">
        <f>+correlaciones!AE14</f>
        <v>0.56552543869953709</v>
      </c>
      <c r="J21" s="25">
        <f t="shared" ref="J21:U26" si="3">0.5*$B$64</f>
        <v>0.5</v>
      </c>
      <c r="K21" s="25">
        <f t="shared" si="3"/>
        <v>0.5</v>
      </c>
      <c r="L21" s="25">
        <f t="shared" si="3"/>
        <v>0.5</v>
      </c>
      <c r="M21" s="25">
        <f t="shared" si="3"/>
        <v>0.5</v>
      </c>
      <c r="N21" s="25">
        <f t="shared" si="3"/>
        <v>0.5</v>
      </c>
      <c r="O21" s="26">
        <f t="shared" si="3"/>
        <v>0.5</v>
      </c>
      <c r="P21" s="25">
        <f t="shared" si="3"/>
        <v>0.5</v>
      </c>
      <c r="Q21" s="25">
        <f t="shared" si="3"/>
        <v>0.5</v>
      </c>
      <c r="R21" s="25">
        <f t="shared" si="3"/>
        <v>0.5</v>
      </c>
      <c r="S21" s="25">
        <f t="shared" si="3"/>
        <v>0.5</v>
      </c>
      <c r="T21" s="25">
        <f t="shared" si="3"/>
        <v>0.5</v>
      </c>
      <c r="U21" s="26">
        <f t="shared" si="3"/>
        <v>0.5</v>
      </c>
    </row>
    <row r="22" spans="1:21" x14ac:dyDescent="0.25">
      <c r="A22" s="51" t="s">
        <v>25</v>
      </c>
      <c r="B22" s="18" t="s">
        <v>2</v>
      </c>
      <c r="C22" s="70">
        <v>0.5</v>
      </c>
      <c r="D22" s="27">
        <f>+correlaciones!Z15</f>
        <v>0.97044553354850815</v>
      </c>
      <c r="E22" s="28">
        <f>+correlaciones!AA15</f>
        <v>1</v>
      </c>
      <c r="F22" s="28">
        <f>+correlaciones!AB15</f>
        <v>0.97044553354850815</v>
      </c>
      <c r="G22" s="28">
        <f>+correlaciones!AC15</f>
        <v>0.91393118527122819</v>
      </c>
      <c r="H22" s="28">
        <f>+correlaciones!AD15</f>
        <v>0.86070797642505781</v>
      </c>
      <c r="I22" s="29">
        <f>+correlaciones!AE15</f>
        <v>0.76337949433685315</v>
      </c>
      <c r="J22" s="28">
        <f t="shared" si="3"/>
        <v>0.5</v>
      </c>
      <c r="K22" s="28">
        <f t="shared" si="3"/>
        <v>0.5</v>
      </c>
      <c r="L22" s="28">
        <f t="shared" si="3"/>
        <v>0.5</v>
      </c>
      <c r="M22" s="28">
        <f t="shared" si="3"/>
        <v>0.5</v>
      </c>
      <c r="N22" s="28">
        <f t="shared" si="3"/>
        <v>0.5</v>
      </c>
      <c r="O22" s="29">
        <f t="shared" si="3"/>
        <v>0.5</v>
      </c>
      <c r="P22" s="28">
        <f t="shared" si="3"/>
        <v>0.5</v>
      </c>
      <c r="Q22" s="28">
        <f t="shared" si="3"/>
        <v>0.5</v>
      </c>
      <c r="R22" s="28">
        <f t="shared" si="3"/>
        <v>0.5</v>
      </c>
      <c r="S22" s="28">
        <f t="shared" si="3"/>
        <v>0.5</v>
      </c>
      <c r="T22" s="28">
        <f t="shared" si="3"/>
        <v>0.5</v>
      </c>
      <c r="U22" s="29">
        <f t="shared" si="3"/>
        <v>0.5</v>
      </c>
    </row>
    <row r="23" spans="1:21" x14ac:dyDescent="0.25">
      <c r="A23" s="51" t="s">
        <v>25</v>
      </c>
      <c r="B23" s="18" t="s">
        <v>2</v>
      </c>
      <c r="C23" s="70">
        <v>1</v>
      </c>
      <c r="D23" s="27">
        <f>+correlaciones!Z16</f>
        <v>0.91393118527122819</v>
      </c>
      <c r="E23" s="28">
        <f>+correlaciones!AA16</f>
        <v>0.97044553354850815</v>
      </c>
      <c r="F23" s="28">
        <f>+correlaciones!AB16</f>
        <v>1</v>
      </c>
      <c r="G23" s="28">
        <f>+correlaciones!AC16</f>
        <v>0.97044553354850815</v>
      </c>
      <c r="H23" s="28">
        <f>+correlaciones!AD16</f>
        <v>0.94176453358424872</v>
      </c>
      <c r="I23" s="29">
        <f>+correlaciones!AE16</f>
        <v>0.88692043671715748</v>
      </c>
      <c r="J23" s="28">
        <f t="shared" si="3"/>
        <v>0.5</v>
      </c>
      <c r="K23" s="28">
        <f t="shared" si="3"/>
        <v>0.5</v>
      </c>
      <c r="L23" s="28">
        <f t="shared" si="3"/>
        <v>0.5</v>
      </c>
      <c r="M23" s="28">
        <f t="shared" si="3"/>
        <v>0.5</v>
      </c>
      <c r="N23" s="28">
        <f t="shared" si="3"/>
        <v>0.5</v>
      </c>
      <c r="O23" s="29">
        <f t="shared" si="3"/>
        <v>0.5</v>
      </c>
      <c r="P23" s="28">
        <f t="shared" si="3"/>
        <v>0.5</v>
      </c>
      <c r="Q23" s="28">
        <f t="shared" si="3"/>
        <v>0.5</v>
      </c>
      <c r="R23" s="28">
        <f t="shared" si="3"/>
        <v>0.5</v>
      </c>
      <c r="S23" s="28">
        <f t="shared" si="3"/>
        <v>0.5</v>
      </c>
      <c r="T23" s="28">
        <f t="shared" si="3"/>
        <v>0.5</v>
      </c>
      <c r="U23" s="29">
        <f t="shared" si="3"/>
        <v>0.5</v>
      </c>
    </row>
    <row r="24" spans="1:21" x14ac:dyDescent="0.25">
      <c r="A24" s="51" t="s">
        <v>25</v>
      </c>
      <c r="B24" s="18" t="s">
        <v>2</v>
      </c>
      <c r="C24" s="70">
        <v>2</v>
      </c>
      <c r="D24" s="27">
        <f>+correlaciones!Z17</f>
        <v>0.81058424597018708</v>
      </c>
      <c r="E24" s="28">
        <f>+correlaciones!AA17</f>
        <v>0.91393118527122819</v>
      </c>
      <c r="F24" s="28">
        <f>+correlaciones!AB17</f>
        <v>0.97044553354850815</v>
      </c>
      <c r="G24" s="28">
        <f>+correlaciones!AC17</f>
        <v>1</v>
      </c>
      <c r="H24" s="28">
        <f>+correlaciones!AD17</f>
        <v>0.98511193960306265</v>
      </c>
      <c r="I24" s="29">
        <f>+correlaciones!AE17</f>
        <v>0.95599748183309996</v>
      </c>
      <c r="J24" s="28">
        <f t="shared" si="3"/>
        <v>0.5</v>
      </c>
      <c r="K24" s="28">
        <f t="shared" si="3"/>
        <v>0.5</v>
      </c>
      <c r="L24" s="28">
        <f t="shared" si="3"/>
        <v>0.5</v>
      </c>
      <c r="M24" s="28">
        <f t="shared" si="3"/>
        <v>0.5</v>
      </c>
      <c r="N24" s="28">
        <f t="shared" si="3"/>
        <v>0.5</v>
      </c>
      <c r="O24" s="29">
        <f t="shared" si="3"/>
        <v>0.5</v>
      </c>
      <c r="P24" s="28">
        <f t="shared" si="3"/>
        <v>0.5</v>
      </c>
      <c r="Q24" s="28">
        <f t="shared" si="3"/>
        <v>0.5</v>
      </c>
      <c r="R24" s="28">
        <f t="shared" si="3"/>
        <v>0.5</v>
      </c>
      <c r="S24" s="28">
        <f t="shared" si="3"/>
        <v>0.5</v>
      </c>
      <c r="T24" s="28">
        <f t="shared" si="3"/>
        <v>0.5</v>
      </c>
      <c r="U24" s="29">
        <f t="shared" si="3"/>
        <v>0.5</v>
      </c>
    </row>
    <row r="25" spans="1:21" x14ac:dyDescent="0.25">
      <c r="A25" s="51" t="s">
        <v>25</v>
      </c>
      <c r="B25" s="18" t="s">
        <v>2</v>
      </c>
      <c r="C25" s="70">
        <v>3</v>
      </c>
      <c r="D25" s="27">
        <f>+correlaciones!Z18</f>
        <v>0.71892373343192617</v>
      </c>
      <c r="E25" s="28">
        <f>+correlaciones!AA18</f>
        <v>0.86070797642505781</v>
      </c>
      <c r="F25" s="28">
        <f>+correlaciones!AB18</f>
        <v>0.94176453358424872</v>
      </c>
      <c r="G25" s="28">
        <f>+correlaciones!AC18</f>
        <v>0.98511193960306265</v>
      </c>
      <c r="H25" s="28">
        <f>+correlaciones!AD18</f>
        <v>1</v>
      </c>
      <c r="I25" s="29">
        <f>+correlaciones!AE18</f>
        <v>0.98019867330675525</v>
      </c>
      <c r="J25" s="28">
        <f t="shared" si="3"/>
        <v>0.5</v>
      </c>
      <c r="K25" s="28">
        <f t="shared" si="3"/>
        <v>0.5</v>
      </c>
      <c r="L25" s="28">
        <f t="shared" si="3"/>
        <v>0.5</v>
      </c>
      <c r="M25" s="28">
        <f t="shared" si="3"/>
        <v>0.5</v>
      </c>
      <c r="N25" s="28">
        <f t="shared" si="3"/>
        <v>0.5</v>
      </c>
      <c r="O25" s="29">
        <f t="shared" si="3"/>
        <v>0.5</v>
      </c>
      <c r="P25" s="28">
        <f t="shared" si="3"/>
        <v>0.5</v>
      </c>
      <c r="Q25" s="28">
        <f t="shared" si="3"/>
        <v>0.5</v>
      </c>
      <c r="R25" s="28">
        <f t="shared" si="3"/>
        <v>0.5</v>
      </c>
      <c r="S25" s="28">
        <f t="shared" si="3"/>
        <v>0.5</v>
      </c>
      <c r="T25" s="28">
        <f t="shared" si="3"/>
        <v>0.5</v>
      </c>
      <c r="U25" s="29">
        <f t="shared" si="3"/>
        <v>0.5</v>
      </c>
    </row>
    <row r="26" spans="1:21" x14ac:dyDescent="0.25">
      <c r="A26" s="52" t="s">
        <v>25</v>
      </c>
      <c r="B26" s="19" t="s">
        <v>2</v>
      </c>
      <c r="C26" s="66">
        <v>5</v>
      </c>
      <c r="D26" s="30">
        <f>+correlaciones!Z19</f>
        <v>0.56552543869953709</v>
      </c>
      <c r="E26" s="31">
        <f>+correlaciones!AA19</f>
        <v>0.76337949433685315</v>
      </c>
      <c r="F26" s="31">
        <f>+correlaciones!AB19</f>
        <v>0.88692043671715748</v>
      </c>
      <c r="G26" s="31">
        <f>+correlaciones!AC19</f>
        <v>0.95599748183309996</v>
      </c>
      <c r="H26" s="31">
        <f>+correlaciones!AD19</f>
        <v>0.98019867330675525</v>
      </c>
      <c r="I26" s="32">
        <f>+correlaciones!AE19</f>
        <v>1</v>
      </c>
      <c r="J26" s="31">
        <f t="shared" si="3"/>
        <v>0.5</v>
      </c>
      <c r="K26" s="31">
        <f t="shared" si="3"/>
        <v>0.5</v>
      </c>
      <c r="L26" s="31">
        <f t="shared" si="3"/>
        <v>0.5</v>
      </c>
      <c r="M26" s="31">
        <f t="shared" si="3"/>
        <v>0.5</v>
      </c>
      <c r="N26" s="31">
        <f t="shared" si="3"/>
        <v>0.5</v>
      </c>
      <c r="O26" s="32">
        <f t="shared" si="3"/>
        <v>0.5</v>
      </c>
      <c r="P26" s="31">
        <f t="shared" si="3"/>
        <v>0.5</v>
      </c>
      <c r="Q26" s="31">
        <f t="shared" si="3"/>
        <v>0.5</v>
      </c>
      <c r="R26" s="31">
        <f t="shared" si="3"/>
        <v>0.5</v>
      </c>
      <c r="S26" s="31">
        <f t="shared" si="3"/>
        <v>0.5</v>
      </c>
      <c r="T26" s="31">
        <f t="shared" si="3"/>
        <v>0.5</v>
      </c>
      <c r="U26" s="32">
        <f t="shared" si="3"/>
        <v>0.5</v>
      </c>
    </row>
    <row r="27" spans="1:21" x14ac:dyDescent="0.25">
      <c r="A27" s="51" t="s">
        <v>26</v>
      </c>
      <c r="B27" s="18" t="s">
        <v>3</v>
      </c>
      <c r="C27" s="69">
        <v>0.25</v>
      </c>
      <c r="D27" s="27">
        <f t="shared" ref="D27:I38" si="4">0.5*$B$64</f>
        <v>0.5</v>
      </c>
      <c r="E27" s="28">
        <f t="shared" si="4"/>
        <v>0.5</v>
      </c>
      <c r="F27" s="28">
        <f t="shared" si="4"/>
        <v>0.5</v>
      </c>
      <c r="G27" s="28">
        <f t="shared" si="4"/>
        <v>0.5</v>
      </c>
      <c r="H27" s="28">
        <f t="shared" si="4"/>
        <v>0.5</v>
      </c>
      <c r="I27" s="29">
        <f t="shared" si="4"/>
        <v>0.5</v>
      </c>
      <c r="J27" s="28">
        <f>+correlaciones!AJ24</f>
        <v>1</v>
      </c>
      <c r="K27" s="28">
        <f>+correlaciones!AK24</f>
        <v>0.97044553354850815</v>
      </c>
      <c r="L27" s="28">
        <f>+correlaciones!AL24</f>
        <v>0.91393118527122819</v>
      </c>
      <c r="M27" s="28">
        <f>+correlaciones!AM24</f>
        <v>0.81058424597018708</v>
      </c>
      <c r="N27" s="28">
        <f>+correlaciones!AN24</f>
        <v>0.71892373343192617</v>
      </c>
      <c r="O27" s="29">
        <f>+correlaciones!AO24</f>
        <v>0.56552543869953709</v>
      </c>
      <c r="P27" s="28">
        <f t="shared" ref="P27:U32" si="5">0.4*$B$64</f>
        <v>0.4</v>
      </c>
      <c r="Q27" s="28">
        <f t="shared" si="5"/>
        <v>0.4</v>
      </c>
      <c r="R27" s="28">
        <f t="shared" si="5"/>
        <v>0.4</v>
      </c>
      <c r="S27" s="28">
        <f t="shared" si="5"/>
        <v>0.4</v>
      </c>
      <c r="T27" s="28">
        <f t="shared" si="5"/>
        <v>0.4</v>
      </c>
      <c r="U27" s="29">
        <f t="shared" si="5"/>
        <v>0.4</v>
      </c>
    </row>
    <row r="28" spans="1:21" x14ac:dyDescent="0.25">
      <c r="A28" s="51" t="s">
        <v>26</v>
      </c>
      <c r="B28" s="18" t="s">
        <v>3</v>
      </c>
      <c r="C28" s="70">
        <v>0.5</v>
      </c>
      <c r="D28" s="27">
        <f t="shared" si="4"/>
        <v>0.5</v>
      </c>
      <c r="E28" s="28">
        <f t="shared" si="4"/>
        <v>0.5</v>
      </c>
      <c r="F28" s="28">
        <f t="shared" si="4"/>
        <v>0.5</v>
      </c>
      <c r="G28" s="28">
        <f t="shared" si="4"/>
        <v>0.5</v>
      </c>
      <c r="H28" s="28">
        <f t="shared" si="4"/>
        <v>0.5</v>
      </c>
      <c r="I28" s="29">
        <f t="shared" si="4"/>
        <v>0.5</v>
      </c>
      <c r="J28" s="28">
        <f>+correlaciones!AJ25</f>
        <v>0.97044553354850815</v>
      </c>
      <c r="K28" s="28">
        <f>+correlaciones!AK25</f>
        <v>1</v>
      </c>
      <c r="L28" s="28">
        <f>+correlaciones!AL25</f>
        <v>0.97044553354850815</v>
      </c>
      <c r="M28" s="28">
        <f>+correlaciones!AM25</f>
        <v>0.91393118527122819</v>
      </c>
      <c r="N28" s="28">
        <f>+correlaciones!AN25</f>
        <v>0.86070797642505781</v>
      </c>
      <c r="O28" s="29">
        <f>+correlaciones!AO25</f>
        <v>0.76337949433685315</v>
      </c>
      <c r="P28" s="28">
        <f t="shared" si="5"/>
        <v>0.4</v>
      </c>
      <c r="Q28" s="28">
        <f t="shared" si="5"/>
        <v>0.4</v>
      </c>
      <c r="R28" s="28">
        <f t="shared" si="5"/>
        <v>0.4</v>
      </c>
      <c r="S28" s="28">
        <f t="shared" si="5"/>
        <v>0.4</v>
      </c>
      <c r="T28" s="28">
        <f t="shared" si="5"/>
        <v>0.4</v>
      </c>
      <c r="U28" s="29">
        <f t="shared" si="5"/>
        <v>0.4</v>
      </c>
    </row>
    <row r="29" spans="1:21" x14ac:dyDescent="0.25">
      <c r="A29" s="51" t="s">
        <v>26</v>
      </c>
      <c r="B29" s="18" t="s">
        <v>3</v>
      </c>
      <c r="C29" s="70">
        <v>1</v>
      </c>
      <c r="D29" s="27">
        <f t="shared" si="4"/>
        <v>0.5</v>
      </c>
      <c r="E29" s="28">
        <f t="shared" si="4"/>
        <v>0.5</v>
      </c>
      <c r="F29" s="28">
        <f t="shared" si="4"/>
        <v>0.5</v>
      </c>
      <c r="G29" s="28">
        <f t="shared" si="4"/>
        <v>0.5</v>
      </c>
      <c r="H29" s="28">
        <f t="shared" si="4"/>
        <v>0.5</v>
      </c>
      <c r="I29" s="29">
        <f t="shared" si="4"/>
        <v>0.5</v>
      </c>
      <c r="J29" s="28">
        <f>+correlaciones!AJ26</f>
        <v>0.91393118527122819</v>
      </c>
      <c r="K29" s="28">
        <f>+correlaciones!AK26</f>
        <v>0.97044553354850815</v>
      </c>
      <c r="L29" s="28">
        <f>+correlaciones!AL26</f>
        <v>1</v>
      </c>
      <c r="M29" s="28">
        <f>+correlaciones!AM26</f>
        <v>0.97044553354850815</v>
      </c>
      <c r="N29" s="28">
        <f>+correlaciones!AN26</f>
        <v>0.94176453358424872</v>
      </c>
      <c r="O29" s="29">
        <f>+correlaciones!AO26</f>
        <v>0.88692043671715748</v>
      </c>
      <c r="P29" s="28">
        <f t="shared" si="5"/>
        <v>0.4</v>
      </c>
      <c r="Q29" s="28">
        <f t="shared" si="5"/>
        <v>0.4</v>
      </c>
      <c r="R29" s="28">
        <f t="shared" si="5"/>
        <v>0.4</v>
      </c>
      <c r="S29" s="28">
        <f t="shared" si="5"/>
        <v>0.4</v>
      </c>
      <c r="T29" s="28">
        <f t="shared" si="5"/>
        <v>0.4</v>
      </c>
      <c r="U29" s="29">
        <f t="shared" si="5"/>
        <v>0.4</v>
      </c>
    </row>
    <row r="30" spans="1:21" x14ac:dyDescent="0.25">
      <c r="A30" s="51" t="s">
        <v>26</v>
      </c>
      <c r="B30" s="18" t="s">
        <v>3</v>
      </c>
      <c r="C30" s="70">
        <v>2</v>
      </c>
      <c r="D30" s="27">
        <f t="shared" si="4"/>
        <v>0.5</v>
      </c>
      <c r="E30" s="28">
        <f t="shared" si="4"/>
        <v>0.5</v>
      </c>
      <c r="F30" s="28">
        <f t="shared" si="4"/>
        <v>0.5</v>
      </c>
      <c r="G30" s="28">
        <f t="shared" si="4"/>
        <v>0.5</v>
      </c>
      <c r="H30" s="28">
        <f t="shared" si="4"/>
        <v>0.5</v>
      </c>
      <c r="I30" s="29">
        <f t="shared" si="4"/>
        <v>0.5</v>
      </c>
      <c r="J30" s="28">
        <f>+correlaciones!AJ27</f>
        <v>0.81058424597018708</v>
      </c>
      <c r="K30" s="28">
        <f>+correlaciones!AK27</f>
        <v>0.91393118527122819</v>
      </c>
      <c r="L30" s="28">
        <f>+correlaciones!AL27</f>
        <v>0.97044553354850815</v>
      </c>
      <c r="M30" s="28">
        <f>+correlaciones!AM27</f>
        <v>1</v>
      </c>
      <c r="N30" s="28">
        <f>+correlaciones!AN27</f>
        <v>0.98511193960306265</v>
      </c>
      <c r="O30" s="29">
        <f>+correlaciones!AO27</f>
        <v>0.95599748183309996</v>
      </c>
      <c r="P30" s="28">
        <f t="shared" si="5"/>
        <v>0.4</v>
      </c>
      <c r="Q30" s="28">
        <f t="shared" si="5"/>
        <v>0.4</v>
      </c>
      <c r="R30" s="28">
        <f t="shared" si="5"/>
        <v>0.4</v>
      </c>
      <c r="S30" s="28">
        <f t="shared" si="5"/>
        <v>0.4</v>
      </c>
      <c r="T30" s="28">
        <f t="shared" si="5"/>
        <v>0.4</v>
      </c>
      <c r="U30" s="29">
        <f t="shared" si="5"/>
        <v>0.4</v>
      </c>
    </row>
    <row r="31" spans="1:21" x14ac:dyDescent="0.25">
      <c r="A31" s="51" t="s">
        <v>26</v>
      </c>
      <c r="B31" s="18" t="s">
        <v>3</v>
      </c>
      <c r="C31" s="70">
        <v>3</v>
      </c>
      <c r="D31" s="27">
        <f t="shared" si="4"/>
        <v>0.5</v>
      </c>
      <c r="E31" s="28">
        <f t="shared" si="4"/>
        <v>0.5</v>
      </c>
      <c r="F31" s="28">
        <f t="shared" si="4"/>
        <v>0.5</v>
      </c>
      <c r="G31" s="28">
        <f t="shared" si="4"/>
        <v>0.5</v>
      </c>
      <c r="H31" s="28">
        <f t="shared" si="4"/>
        <v>0.5</v>
      </c>
      <c r="I31" s="29">
        <f t="shared" si="4"/>
        <v>0.5</v>
      </c>
      <c r="J31" s="28">
        <f>+correlaciones!AJ28</f>
        <v>0.71892373343192617</v>
      </c>
      <c r="K31" s="28">
        <f>+correlaciones!AK28</f>
        <v>0.86070797642505781</v>
      </c>
      <c r="L31" s="28">
        <f>+correlaciones!AL28</f>
        <v>0.94176453358424872</v>
      </c>
      <c r="M31" s="28">
        <f>+correlaciones!AM28</f>
        <v>0.98511193960306265</v>
      </c>
      <c r="N31" s="28">
        <f>+correlaciones!AN28</f>
        <v>1</v>
      </c>
      <c r="O31" s="29">
        <f>+correlaciones!AO28</f>
        <v>0.98019867330675525</v>
      </c>
      <c r="P31" s="28">
        <f t="shared" si="5"/>
        <v>0.4</v>
      </c>
      <c r="Q31" s="28">
        <f t="shared" si="5"/>
        <v>0.4</v>
      </c>
      <c r="R31" s="28">
        <f t="shared" si="5"/>
        <v>0.4</v>
      </c>
      <c r="S31" s="28">
        <f t="shared" si="5"/>
        <v>0.4</v>
      </c>
      <c r="T31" s="28">
        <f t="shared" si="5"/>
        <v>0.4</v>
      </c>
      <c r="U31" s="29">
        <f t="shared" si="5"/>
        <v>0.4</v>
      </c>
    </row>
    <row r="32" spans="1:21" x14ac:dyDescent="0.25">
      <c r="A32" s="52" t="s">
        <v>26</v>
      </c>
      <c r="B32" s="19" t="s">
        <v>3</v>
      </c>
      <c r="C32" s="66">
        <v>5</v>
      </c>
      <c r="D32" s="30">
        <f t="shared" si="4"/>
        <v>0.5</v>
      </c>
      <c r="E32" s="31">
        <f t="shared" si="4"/>
        <v>0.5</v>
      </c>
      <c r="F32" s="31">
        <f t="shared" si="4"/>
        <v>0.5</v>
      </c>
      <c r="G32" s="31">
        <f t="shared" si="4"/>
        <v>0.5</v>
      </c>
      <c r="H32" s="31">
        <f t="shared" si="4"/>
        <v>0.5</v>
      </c>
      <c r="I32" s="32">
        <f t="shared" si="4"/>
        <v>0.5</v>
      </c>
      <c r="J32" s="31">
        <f>+correlaciones!AJ29</f>
        <v>0.56552543869953709</v>
      </c>
      <c r="K32" s="31">
        <f>+correlaciones!AK29</f>
        <v>0.76337949433685315</v>
      </c>
      <c r="L32" s="31">
        <f>+correlaciones!AL29</f>
        <v>0.88692043671715748</v>
      </c>
      <c r="M32" s="31">
        <f>+correlaciones!AM29</f>
        <v>0.95599748183309996</v>
      </c>
      <c r="N32" s="31">
        <f>+correlaciones!AN29</f>
        <v>0.98019867330675525</v>
      </c>
      <c r="O32" s="32">
        <f>+correlaciones!AO29</f>
        <v>1</v>
      </c>
      <c r="P32" s="31">
        <f t="shared" si="5"/>
        <v>0.4</v>
      </c>
      <c r="Q32" s="31">
        <f t="shared" si="5"/>
        <v>0.4</v>
      </c>
      <c r="R32" s="31">
        <f t="shared" si="5"/>
        <v>0.4</v>
      </c>
      <c r="S32" s="31">
        <f t="shared" si="5"/>
        <v>0.4</v>
      </c>
      <c r="T32" s="31">
        <f t="shared" si="5"/>
        <v>0.4</v>
      </c>
      <c r="U32" s="32">
        <f t="shared" si="5"/>
        <v>0.4</v>
      </c>
    </row>
    <row r="33" spans="1:24" x14ac:dyDescent="0.25">
      <c r="A33" s="51" t="s">
        <v>35</v>
      </c>
      <c r="B33" s="18" t="s">
        <v>8</v>
      </c>
      <c r="C33" s="69">
        <v>0.25</v>
      </c>
      <c r="D33" s="27">
        <f t="shared" si="4"/>
        <v>0.5</v>
      </c>
      <c r="E33" s="28">
        <f t="shared" si="4"/>
        <v>0.5</v>
      </c>
      <c r="F33" s="28">
        <f t="shared" si="4"/>
        <v>0.5</v>
      </c>
      <c r="G33" s="28">
        <f t="shared" si="4"/>
        <v>0.5</v>
      </c>
      <c r="H33" s="28">
        <f t="shared" si="4"/>
        <v>0.5</v>
      </c>
      <c r="I33" s="29">
        <f t="shared" si="4"/>
        <v>0.5</v>
      </c>
      <c r="J33" s="28">
        <f t="shared" ref="J33:O38" si="6">0.4*$B$64</f>
        <v>0.4</v>
      </c>
      <c r="K33" s="28">
        <f t="shared" si="6"/>
        <v>0.4</v>
      </c>
      <c r="L33" s="28">
        <f t="shared" si="6"/>
        <v>0.4</v>
      </c>
      <c r="M33" s="28">
        <f t="shared" si="6"/>
        <v>0.4</v>
      </c>
      <c r="N33" s="28">
        <f t="shared" si="6"/>
        <v>0.4</v>
      </c>
      <c r="O33" s="29">
        <f t="shared" si="6"/>
        <v>0.4</v>
      </c>
      <c r="P33" s="28">
        <v>1</v>
      </c>
      <c r="Q33" s="28">
        <v>1</v>
      </c>
      <c r="R33" s="28">
        <v>1</v>
      </c>
      <c r="S33" s="28">
        <v>1</v>
      </c>
      <c r="T33" s="28">
        <v>1</v>
      </c>
      <c r="U33" s="29">
        <v>1</v>
      </c>
    </row>
    <row r="34" spans="1:24" x14ac:dyDescent="0.25">
      <c r="A34" s="51" t="s">
        <v>35</v>
      </c>
      <c r="B34" s="18" t="s">
        <v>8</v>
      </c>
      <c r="C34" s="70">
        <v>0.5</v>
      </c>
      <c r="D34" s="27">
        <f t="shared" si="4"/>
        <v>0.5</v>
      </c>
      <c r="E34" s="28">
        <f t="shared" si="4"/>
        <v>0.5</v>
      </c>
      <c r="F34" s="28">
        <f t="shared" si="4"/>
        <v>0.5</v>
      </c>
      <c r="G34" s="28">
        <f t="shared" si="4"/>
        <v>0.5</v>
      </c>
      <c r="H34" s="28">
        <f t="shared" si="4"/>
        <v>0.5</v>
      </c>
      <c r="I34" s="29">
        <f t="shared" si="4"/>
        <v>0.5</v>
      </c>
      <c r="J34" s="28">
        <f t="shared" si="6"/>
        <v>0.4</v>
      </c>
      <c r="K34" s="28">
        <f t="shared" si="6"/>
        <v>0.4</v>
      </c>
      <c r="L34" s="28">
        <f t="shared" si="6"/>
        <v>0.4</v>
      </c>
      <c r="M34" s="28">
        <f t="shared" si="6"/>
        <v>0.4</v>
      </c>
      <c r="N34" s="28">
        <f t="shared" si="6"/>
        <v>0.4</v>
      </c>
      <c r="O34" s="29">
        <f t="shared" si="6"/>
        <v>0.4</v>
      </c>
      <c r="P34" s="28">
        <v>1</v>
      </c>
      <c r="Q34" s="28">
        <v>1</v>
      </c>
      <c r="R34" s="28">
        <v>1</v>
      </c>
      <c r="S34" s="28">
        <v>1</v>
      </c>
      <c r="T34" s="28">
        <v>1</v>
      </c>
      <c r="U34" s="29">
        <v>1</v>
      </c>
    </row>
    <row r="35" spans="1:24" x14ac:dyDescent="0.25">
      <c r="A35" s="51" t="s">
        <v>35</v>
      </c>
      <c r="B35" s="18" t="s">
        <v>8</v>
      </c>
      <c r="C35" s="70">
        <v>1</v>
      </c>
      <c r="D35" s="27">
        <f t="shared" si="4"/>
        <v>0.5</v>
      </c>
      <c r="E35" s="28">
        <f t="shared" si="4"/>
        <v>0.5</v>
      </c>
      <c r="F35" s="28">
        <f t="shared" si="4"/>
        <v>0.5</v>
      </c>
      <c r="G35" s="28">
        <f t="shared" si="4"/>
        <v>0.5</v>
      </c>
      <c r="H35" s="28">
        <f t="shared" si="4"/>
        <v>0.5</v>
      </c>
      <c r="I35" s="29">
        <f t="shared" si="4"/>
        <v>0.5</v>
      </c>
      <c r="J35" s="28">
        <f t="shared" si="6"/>
        <v>0.4</v>
      </c>
      <c r="K35" s="28">
        <f t="shared" si="6"/>
        <v>0.4</v>
      </c>
      <c r="L35" s="28">
        <f t="shared" si="6"/>
        <v>0.4</v>
      </c>
      <c r="M35" s="28">
        <f t="shared" si="6"/>
        <v>0.4</v>
      </c>
      <c r="N35" s="28">
        <f t="shared" si="6"/>
        <v>0.4</v>
      </c>
      <c r="O35" s="29">
        <f t="shared" si="6"/>
        <v>0.4</v>
      </c>
      <c r="P35" s="28">
        <v>1</v>
      </c>
      <c r="Q35" s="28">
        <v>1</v>
      </c>
      <c r="R35" s="28">
        <v>1</v>
      </c>
      <c r="S35" s="28">
        <v>1</v>
      </c>
      <c r="T35" s="28">
        <v>1</v>
      </c>
      <c r="U35" s="29">
        <v>1</v>
      </c>
    </row>
    <row r="36" spans="1:24" x14ac:dyDescent="0.25">
      <c r="A36" s="51" t="s">
        <v>35</v>
      </c>
      <c r="B36" s="18" t="s">
        <v>8</v>
      </c>
      <c r="C36" s="70">
        <v>2</v>
      </c>
      <c r="D36" s="27">
        <f t="shared" si="4"/>
        <v>0.5</v>
      </c>
      <c r="E36" s="28">
        <f t="shared" si="4"/>
        <v>0.5</v>
      </c>
      <c r="F36" s="28">
        <f t="shared" si="4"/>
        <v>0.5</v>
      </c>
      <c r="G36" s="28">
        <f t="shared" si="4"/>
        <v>0.5</v>
      </c>
      <c r="H36" s="28">
        <f t="shared" si="4"/>
        <v>0.5</v>
      </c>
      <c r="I36" s="29">
        <f t="shared" si="4"/>
        <v>0.5</v>
      </c>
      <c r="J36" s="28">
        <f t="shared" si="6"/>
        <v>0.4</v>
      </c>
      <c r="K36" s="28">
        <f t="shared" si="6"/>
        <v>0.4</v>
      </c>
      <c r="L36" s="28">
        <f t="shared" si="6"/>
        <v>0.4</v>
      </c>
      <c r="M36" s="28">
        <f t="shared" si="6"/>
        <v>0.4</v>
      </c>
      <c r="N36" s="28">
        <f t="shared" si="6"/>
        <v>0.4</v>
      </c>
      <c r="O36" s="29">
        <f t="shared" si="6"/>
        <v>0.4</v>
      </c>
      <c r="P36" s="28">
        <v>1</v>
      </c>
      <c r="Q36" s="28">
        <v>1</v>
      </c>
      <c r="R36" s="28">
        <v>1</v>
      </c>
      <c r="S36" s="28">
        <v>1</v>
      </c>
      <c r="T36" s="28">
        <v>1</v>
      </c>
      <c r="U36" s="29">
        <v>1</v>
      </c>
    </row>
    <row r="37" spans="1:24" x14ac:dyDescent="0.25">
      <c r="A37" s="51" t="s">
        <v>35</v>
      </c>
      <c r="B37" s="18" t="s">
        <v>8</v>
      </c>
      <c r="C37" s="70">
        <v>3</v>
      </c>
      <c r="D37" s="27">
        <f t="shared" si="4"/>
        <v>0.5</v>
      </c>
      <c r="E37" s="28">
        <f t="shared" si="4"/>
        <v>0.5</v>
      </c>
      <c r="F37" s="28">
        <f t="shared" si="4"/>
        <v>0.5</v>
      </c>
      <c r="G37" s="28">
        <f t="shared" si="4"/>
        <v>0.5</v>
      </c>
      <c r="H37" s="28">
        <f t="shared" si="4"/>
        <v>0.5</v>
      </c>
      <c r="I37" s="29">
        <f t="shared" si="4"/>
        <v>0.5</v>
      </c>
      <c r="J37" s="28">
        <f t="shared" si="6"/>
        <v>0.4</v>
      </c>
      <c r="K37" s="28">
        <f t="shared" si="6"/>
        <v>0.4</v>
      </c>
      <c r="L37" s="28">
        <f t="shared" si="6"/>
        <v>0.4</v>
      </c>
      <c r="M37" s="28">
        <f t="shared" si="6"/>
        <v>0.4</v>
      </c>
      <c r="N37" s="28">
        <f t="shared" si="6"/>
        <v>0.4</v>
      </c>
      <c r="O37" s="29">
        <f t="shared" si="6"/>
        <v>0.4</v>
      </c>
      <c r="P37" s="28">
        <v>1</v>
      </c>
      <c r="Q37" s="28">
        <v>1</v>
      </c>
      <c r="R37" s="28">
        <v>1</v>
      </c>
      <c r="S37" s="28">
        <v>1</v>
      </c>
      <c r="T37" s="28">
        <v>1</v>
      </c>
      <c r="U37" s="29">
        <v>1</v>
      </c>
    </row>
    <row r="38" spans="1:24" x14ac:dyDescent="0.25">
      <c r="A38" s="52" t="s">
        <v>35</v>
      </c>
      <c r="B38" s="19" t="s">
        <v>8</v>
      </c>
      <c r="C38" s="66">
        <v>5</v>
      </c>
      <c r="D38" s="30">
        <f t="shared" si="4"/>
        <v>0.5</v>
      </c>
      <c r="E38" s="31">
        <f t="shared" si="4"/>
        <v>0.5</v>
      </c>
      <c r="F38" s="31">
        <f t="shared" si="4"/>
        <v>0.5</v>
      </c>
      <c r="G38" s="31">
        <f t="shared" si="4"/>
        <v>0.5</v>
      </c>
      <c r="H38" s="31">
        <f t="shared" si="4"/>
        <v>0.5</v>
      </c>
      <c r="I38" s="32">
        <f t="shared" si="4"/>
        <v>0.5</v>
      </c>
      <c r="J38" s="31">
        <f t="shared" si="6"/>
        <v>0.4</v>
      </c>
      <c r="K38" s="31">
        <f t="shared" si="6"/>
        <v>0.4</v>
      </c>
      <c r="L38" s="31">
        <f t="shared" si="6"/>
        <v>0.4</v>
      </c>
      <c r="M38" s="31">
        <f t="shared" si="6"/>
        <v>0.4</v>
      </c>
      <c r="N38" s="31">
        <f t="shared" si="6"/>
        <v>0.4</v>
      </c>
      <c r="O38" s="32">
        <f t="shared" si="6"/>
        <v>0.4</v>
      </c>
      <c r="P38" s="31">
        <v>1</v>
      </c>
      <c r="Q38" s="31">
        <v>1</v>
      </c>
      <c r="R38" s="31">
        <v>1</v>
      </c>
      <c r="S38" s="31">
        <v>1</v>
      </c>
      <c r="T38" s="31">
        <v>1</v>
      </c>
      <c r="U38" s="32">
        <v>1</v>
      </c>
    </row>
    <row r="40" spans="1:24" x14ac:dyDescent="0.25">
      <c r="A40" s="7" t="s">
        <v>21</v>
      </c>
      <c r="B40" s="1"/>
      <c r="D40" s="40">
        <f t="shared" ref="D40:I40" si="7">+D14</f>
        <v>1202081.5280171307</v>
      </c>
      <c r="E40" s="41">
        <f t="shared" si="7"/>
        <v>1202081.5280171307</v>
      </c>
      <c r="F40" s="41">
        <f t="shared" si="7"/>
        <v>1131370.8498984759</v>
      </c>
      <c r="G40" s="41">
        <f t="shared" si="7"/>
        <v>919238.81554251164</v>
      </c>
      <c r="H40" s="41">
        <f t="shared" si="7"/>
        <v>848528.13742385688</v>
      </c>
      <c r="I40" s="42">
        <f t="shared" si="7"/>
        <v>0</v>
      </c>
      <c r="J40" s="41">
        <f t="shared" ref="J40:O40" si="8">+D15</f>
        <v>1202081.5280171307</v>
      </c>
      <c r="K40" s="41">
        <f t="shared" si="8"/>
        <v>1202081.5280171307</v>
      </c>
      <c r="L40" s="41">
        <f t="shared" si="8"/>
        <v>1131370.8498984759</v>
      </c>
      <c r="M40" s="41">
        <f t="shared" si="8"/>
        <v>919238.81554251164</v>
      </c>
      <c r="N40" s="41">
        <f t="shared" si="8"/>
        <v>848528.13742385688</v>
      </c>
      <c r="O40" s="42">
        <f t="shared" si="8"/>
        <v>0</v>
      </c>
      <c r="P40" s="10">
        <f t="shared" ref="P40:U40" si="9">+D16</f>
        <v>1131370.8498984759</v>
      </c>
      <c r="Q40" s="11">
        <f t="shared" si="9"/>
        <v>0</v>
      </c>
      <c r="R40" s="11">
        <f t="shared" si="9"/>
        <v>0</v>
      </c>
      <c r="S40" s="11">
        <f t="shared" si="9"/>
        <v>0</v>
      </c>
      <c r="T40" s="11">
        <f t="shared" si="9"/>
        <v>0</v>
      </c>
      <c r="U40" s="12">
        <f t="shared" si="9"/>
        <v>0</v>
      </c>
      <c r="V40" s="8"/>
      <c r="W40" s="8"/>
      <c r="X40" s="8"/>
    </row>
    <row r="41" spans="1:24" x14ac:dyDescent="0.25">
      <c r="A41" s="1"/>
      <c r="C41" s="20" t="s">
        <v>0</v>
      </c>
      <c r="D41" s="21" t="str">
        <f t="array" ref="D41:I41">+TRANSPOSE(B43:B48)</f>
        <v>1M</v>
      </c>
      <c r="E41" s="21" t="str">
        <v>1M</v>
      </c>
      <c r="F41" s="21" t="str">
        <v>1M</v>
      </c>
      <c r="G41" s="21" t="str">
        <v>1M</v>
      </c>
      <c r="H41" s="21" t="str">
        <v>1M</v>
      </c>
      <c r="I41" s="22" t="str">
        <v>1M</v>
      </c>
      <c r="J41" s="21" t="s">
        <v>3</v>
      </c>
      <c r="K41" s="21" t="s">
        <v>3</v>
      </c>
      <c r="L41" s="21" t="s">
        <v>3</v>
      </c>
      <c r="M41" s="21" t="s">
        <v>3</v>
      </c>
      <c r="N41" s="21" t="s">
        <v>3</v>
      </c>
      <c r="O41" s="22" t="s">
        <v>3</v>
      </c>
      <c r="P41" s="21" t="s">
        <v>8</v>
      </c>
      <c r="Q41" s="21" t="s">
        <v>8</v>
      </c>
      <c r="R41" s="21" t="s">
        <v>8</v>
      </c>
      <c r="S41" s="21" t="s">
        <v>8</v>
      </c>
      <c r="T41" s="21" t="s">
        <v>8</v>
      </c>
      <c r="U41" s="22" t="s">
        <v>8</v>
      </c>
    </row>
    <row r="42" spans="1:24" x14ac:dyDescent="0.25">
      <c r="B42" s="17" t="s">
        <v>0</v>
      </c>
      <c r="C42" s="66" t="s">
        <v>1</v>
      </c>
      <c r="D42" s="67">
        <f t="array" ref="D42:I42">+TRANSPOSE(C43:C48)</f>
        <v>0.25</v>
      </c>
      <c r="E42" s="67">
        <v>0.5</v>
      </c>
      <c r="F42" s="67">
        <v>1</v>
      </c>
      <c r="G42" s="67">
        <v>2</v>
      </c>
      <c r="H42" s="67">
        <v>3</v>
      </c>
      <c r="I42" s="68">
        <v>5</v>
      </c>
      <c r="J42" s="67">
        <v>0.25</v>
      </c>
      <c r="K42" s="67">
        <v>0.5</v>
      </c>
      <c r="L42" s="67">
        <v>1</v>
      </c>
      <c r="M42" s="67">
        <v>2</v>
      </c>
      <c r="N42" s="67">
        <v>3</v>
      </c>
      <c r="O42" s="68">
        <v>5</v>
      </c>
      <c r="P42" s="67">
        <v>0.25</v>
      </c>
      <c r="Q42" s="67">
        <v>0.5</v>
      </c>
      <c r="R42" s="67">
        <v>1</v>
      </c>
      <c r="S42" s="67">
        <v>2</v>
      </c>
      <c r="T42" s="67">
        <v>3</v>
      </c>
      <c r="U42" s="68">
        <v>5</v>
      </c>
    </row>
    <row r="43" spans="1:24" x14ac:dyDescent="0.25">
      <c r="A43" s="43">
        <f t="array" ref="A43:A60">+TRANSPOSE(D40:U40)</f>
        <v>1202081.5280171307</v>
      </c>
      <c r="B43" s="18" t="s">
        <v>2</v>
      </c>
      <c r="C43" s="69">
        <v>0.25</v>
      </c>
      <c r="D43" s="78">
        <f>+$A43*D$40</f>
        <v>1444999999999.9998</v>
      </c>
      <c r="E43" s="79">
        <f t="shared" ref="E43:T54" si="10">+$A43*E$40</f>
        <v>1444999999999.9998</v>
      </c>
      <c r="F43" s="79">
        <f t="shared" si="10"/>
        <v>1359999999999.9998</v>
      </c>
      <c r="G43" s="79">
        <f t="shared" si="10"/>
        <v>1104999999999.9998</v>
      </c>
      <c r="H43" s="79">
        <f t="shared" si="10"/>
        <v>1019999999999.9998</v>
      </c>
      <c r="I43" s="80">
        <f t="shared" si="10"/>
        <v>0</v>
      </c>
      <c r="J43" s="79">
        <f t="shared" si="10"/>
        <v>1444999999999.9998</v>
      </c>
      <c r="K43" s="79">
        <f t="shared" si="10"/>
        <v>1444999999999.9998</v>
      </c>
      <c r="L43" s="79">
        <f t="shared" si="10"/>
        <v>1359999999999.9998</v>
      </c>
      <c r="M43" s="79">
        <f t="shared" si="10"/>
        <v>1104999999999.9998</v>
      </c>
      <c r="N43" s="79">
        <f t="shared" si="10"/>
        <v>1019999999999.9998</v>
      </c>
      <c r="O43" s="80">
        <f t="shared" si="10"/>
        <v>0</v>
      </c>
      <c r="P43" s="79">
        <f t="shared" si="10"/>
        <v>1359999999999.9998</v>
      </c>
      <c r="Q43" s="79">
        <f t="shared" si="10"/>
        <v>0</v>
      </c>
      <c r="R43" s="79">
        <f t="shared" si="10"/>
        <v>0</v>
      </c>
      <c r="S43" s="79">
        <f t="shared" si="10"/>
        <v>0</v>
      </c>
      <c r="T43" s="79">
        <f t="shared" si="10"/>
        <v>0</v>
      </c>
      <c r="U43" s="80">
        <f t="shared" ref="P43:U60" si="11">+$A43*U$40</f>
        <v>0</v>
      </c>
    </row>
    <row r="44" spans="1:24" x14ac:dyDescent="0.25">
      <c r="A44" s="44">
        <v>1202081.5280171307</v>
      </c>
      <c r="B44" s="18" t="s">
        <v>2</v>
      </c>
      <c r="C44" s="70">
        <v>0.5</v>
      </c>
      <c r="D44" s="81">
        <f t="shared" ref="D44:O59" si="12">+$A44*D$40</f>
        <v>1444999999999.9998</v>
      </c>
      <c r="E44" s="82">
        <f t="shared" si="10"/>
        <v>1444999999999.9998</v>
      </c>
      <c r="F44" s="82">
        <f t="shared" si="10"/>
        <v>1359999999999.9998</v>
      </c>
      <c r="G44" s="82">
        <f t="shared" si="10"/>
        <v>1104999999999.9998</v>
      </c>
      <c r="H44" s="82">
        <f t="shared" si="10"/>
        <v>1019999999999.9998</v>
      </c>
      <c r="I44" s="83">
        <f t="shared" si="10"/>
        <v>0</v>
      </c>
      <c r="J44" s="82">
        <f t="shared" si="10"/>
        <v>1444999999999.9998</v>
      </c>
      <c r="K44" s="82">
        <f t="shared" si="10"/>
        <v>1444999999999.9998</v>
      </c>
      <c r="L44" s="82">
        <f t="shared" si="10"/>
        <v>1359999999999.9998</v>
      </c>
      <c r="M44" s="82">
        <f t="shared" si="10"/>
        <v>1104999999999.9998</v>
      </c>
      <c r="N44" s="82">
        <f t="shared" si="10"/>
        <v>1019999999999.9998</v>
      </c>
      <c r="O44" s="83">
        <f t="shared" si="10"/>
        <v>0</v>
      </c>
      <c r="P44" s="82">
        <f t="shared" si="11"/>
        <v>1359999999999.9998</v>
      </c>
      <c r="Q44" s="82">
        <f t="shared" si="11"/>
        <v>0</v>
      </c>
      <c r="R44" s="82">
        <f t="shared" si="11"/>
        <v>0</v>
      </c>
      <c r="S44" s="82">
        <f t="shared" si="11"/>
        <v>0</v>
      </c>
      <c r="T44" s="82">
        <f t="shared" si="11"/>
        <v>0</v>
      </c>
      <c r="U44" s="83">
        <f t="shared" si="11"/>
        <v>0</v>
      </c>
    </row>
    <row r="45" spans="1:24" x14ac:dyDescent="0.25">
      <c r="A45" s="44">
        <v>1131370.8498984759</v>
      </c>
      <c r="B45" s="18" t="s">
        <v>2</v>
      </c>
      <c r="C45" s="70">
        <v>1</v>
      </c>
      <c r="D45" s="81">
        <f t="shared" si="12"/>
        <v>1359999999999.9998</v>
      </c>
      <c r="E45" s="82">
        <f t="shared" si="10"/>
        <v>1359999999999.9998</v>
      </c>
      <c r="F45" s="82">
        <f t="shared" si="10"/>
        <v>1279999999999.9998</v>
      </c>
      <c r="G45" s="82">
        <f t="shared" si="10"/>
        <v>1039999999999.9998</v>
      </c>
      <c r="H45" s="82">
        <f t="shared" si="10"/>
        <v>959999999999.99976</v>
      </c>
      <c r="I45" s="83">
        <f t="shared" si="10"/>
        <v>0</v>
      </c>
      <c r="J45" s="82">
        <f t="shared" si="10"/>
        <v>1359999999999.9998</v>
      </c>
      <c r="K45" s="82">
        <f t="shared" si="10"/>
        <v>1359999999999.9998</v>
      </c>
      <c r="L45" s="82">
        <f t="shared" si="10"/>
        <v>1279999999999.9998</v>
      </c>
      <c r="M45" s="82">
        <f t="shared" si="10"/>
        <v>1039999999999.9998</v>
      </c>
      <c r="N45" s="82">
        <f t="shared" si="10"/>
        <v>959999999999.99976</v>
      </c>
      <c r="O45" s="83">
        <f t="shared" si="10"/>
        <v>0</v>
      </c>
      <c r="P45" s="82">
        <f t="shared" si="11"/>
        <v>1279999999999.9998</v>
      </c>
      <c r="Q45" s="82">
        <f t="shared" si="11"/>
        <v>0</v>
      </c>
      <c r="R45" s="82">
        <f t="shared" si="11"/>
        <v>0</v>
      </c>
      <c r="S45" s="82">
        <f t="shared" si="11"/>
        <v>0</v>
      </c>
      <c r="T45" s="82">
        <f t="shared" si="11"/>
        <v>0</v>
      </c>
      <c r="U45" s="83">
        <f t="shared" si="11"/>
        <v>0</v>
      </c>
    </row>
    <row r="46" spans="1:24" x14ac:dyDescent="0.25">
      <c r="A46" s="44">
        <v>919238.81554251164</v>
      </c>
      <c r="B46" s="18" t="s">
        <v>2</v>
      </c>
      <c r="C46" s="70">
        <v>2</v>
      </c>
      <c r="D46" s="81">
        <f t="shared" si="12"/>
        <v>1104999999999.9998</v>
      </c>
      <c r="E46" s="82">
        <f t="shared" si="10"/>
        <v>1104999999999.9998</v>
      </c>
      <c r="F46" s="82">
        <f t="shared" si="10"/>
        <v>1039999999999.9998</v>
      </c>
      <c r="G46" s="82">
        <f t="shared" si="10"/>
        <v>844999999999.99976</v>
      </c>
      <c r="H46" s="82">
        <f t="shared" si="10"/>
        <v>779999999999.99976</v>
      </c>
      <c r="I46" s="83">
        <f t="shared" si="10"/>
        <v>0</v>
      </c>
      <c r="J46" s="82">
        <f t="shared" si="10"/>
        <v>1104999999999.9998</v>
      </c>
      <c r="K46" s="82">
        <f t="shared" si="10"/>
        <v>1104999999999.9998</v>
      </c>
      <c r="L46" s="82">
        <f t="shared" si="10"/>
        <v>1039999999999.9998</v>
      </c>
      <c r="M46" s="82">
        <f t="shared" si="10"/>
        <v>844999999999.99976</v>
      </c>
      <c r="N46" s="82">
        <f t="shared" si="10"/>
        <v>779999999999.99976</v>
      </c>
      <c r="O46" s="83">
        <f t="shared" si="10"/>
        <v>0</v>
      </c>
      <c r="P46" s="82">
        <f t="shared" si="11"/>
        <v>1039999999999.9998</v>
      </c>
      <c r="Q46" s="82">
        <f t="shared" si="11"/>
        <v>0</v>
      </c>
      <c r="R46" s="82">
        <f t="shared" si="11"/>
        <v>0</v>
      </c>
      <c r="S46" s="82">
        <f t="shared" si="11"/>
        <v>0</v>
      </c>
      <c r="T46" s="82">
        <f t="shared" si="11"/>
        <v>0</v>
      </c>
      <c r="U46" s="83">
        <f t="shared" si="11"/>
        <v>0</v>
      </c>
    </row>
    <row r="47" spans="1:24" x14ac:dyDescent="0.25">
      <c r="A47" s="44">
        <v>848528.13742385688</v>
      </c>
      <c r="B47" s="18" t="s">
        <v>2</v>
      </c>
      <c r="C47" s="70">
        <v>3</v>
      </c>
      <c r="D47" s="81">
        <f t="shared" si="12"/>
        <v>1019999999999.9998</v>
      </c>
      <c r="E47" s="82">
        <f t="shared" si="10"/>
        <v>1019999999999.9998</v>
      </c>
      <c r="F47" s="82">
        <f t="shared" si="10"/>
        <v>959999999999.99976</v>
      </c>
      <c r="G47" s="82">
        <f t="shared" si="10"/>
        <v>779999999999.99976</v>
      </c>
      <c r="H47" s="82">
        <f t="shared" si="10"/>
        <v>719999999999.99976</v>
      </c>
      <c r="I47" s="83">
        <f t="shared" si="10"/>
        <v>0</v>
      </c>
      <c r="J47" s="82">
        <f t="shared" si="10"/>
        <v>1019999999999.9998</v>
      </c>
      <c r="K47" s="82">
        <f t="shared" si="10"/>
        <v>1019999999999.9998</v>
      </c>
      <c r="L47" s="82">
        <f t="shared" si="10"/>
        <v>959999999999.99976</v>
      </c>
      <c r="M47" s="82">
        <f t="shared" si="10"/>
        <v>779999999999.99976</v>
      </c>
      <c r="N47" s="82">
        <f t="shared" si="10"/>
        <v>719999999999.99976</v>
      </c>
      <c r="O47" s="83">
        <f t="shared" si="10"/>
        <v>0</v>
      </c>
      <c r="P47" s="82">
        <f t="shared" si="11"/>
        <v>959999999999.99976</v>
      </c>
      <c r="Q47" s="82">
        <f t="shared" si="11"/>
        <v>0</v>
      </c>
      <c r="R47" s="82">
        <f t="shared" si="11"/>
        <v>0</v>
      </c>
      <c r="S47" s="82">
        <f t="shared" si="11"/>
        <v>0</v>
      </c>
      <c r="T47" s="82">
        <f t="shared" si="11"/>
        <v>0</v>
      </c>
      <c r="U47" s="83">
        <f t="shared" si="11"/>
        <v>0</v>
      </c>
    </row>
    <row r="48" spans="1:24" x14ac:dyDescent="0.25">
      <c r="A48" s="45">
        <v>0</v>
      </c>
      <c r="B48" s="19" t="s">
        <v>2</v>
      </c>
      <c r="C48" s="66">
        <v>5</v>
      </c>
      <c r="D48" s="84">
        <f t="shared" si="12"/>
        <v>0</v>
      </c>
      <c r="E48" s="85">
        <f t="shared" si="10"/>
        <v>0</v>
      </c>
      <c r="F48" s="85">
        <f t="shared" si="10"/>
        <v>0</v>
      </c>
      <c r="G48" s="85">
        <f t="shared" si="10"/>
        <v>0</v>
      </c>
      <c r="H48" s="85">
        <f t="shared" si="10"/>
        <v>0</v>
      </c>
      <c r="I48" s="86">
        <f t="shared" si="10"/>
        <v>0</v>
      </c>
      <c r="J48" s="85">
        <f t="shared" si="10"/>
        <v>0</v>
      </c>
      <c r="K48" s="85">
        <f t="shared" si="10"/>
        <v>0</v>
      </c>
      <c r="L48" s="85">
        <f t="shared" si="10"/>
        <v>0</v>
      </c>
      <c r="M48" s="85">
        <f t="shared" si="10"/>
        <v>0</v>
      </c>
      <c r="N48" s="85">
        <f t="shared" si="10"/>
        <v>0</v>
      </c>
      <c r="O48" s="86">
        <f t="shared" si="10"/>
        <v>0</v>
      </c>
      <c r="P48" s="85">
        <f t="shared" si="11"/>
        <v>0</v>
      </c>
      <c r="Q48" s="85">
        <f t="shared" si="11"/>
        <v>0</v>
      </c>
      <c r="R48" s="85">
        <f t="shared" si="11"/>
        <v>0</v>
      </c>
      <c r="S48" s="85">
        <f t="shared" si="11"/>
        <v>0</v>
      </c>
      <c r="T48" s="85">
        <f t="shared" si="11"/>
        <v>0</v>
      </c>
      <c r="U48" s="86">
        <f t="shared" si="11"/>
        <v>0</v>
      </c>
    </row>
    <row r="49" spans="1:21" x14ac:dyDescent="0.25">
      <c r="A49" s="44">
        <v>1202081.5280171307</v>
      </c>
      <c r="B49" s="18" t="s">
        <v>3</v>
      </c>
      <c r="C49" s="69">
        <v>0.25</v>
      </c>
      <c r="D49" s="81">
        <f t="shared" si="12"/>
        <v>1444999999999.9998</v>
      </c>
      <c r="E49" s="82">
        <f t="shared" si="10"/>
        <v>1444999999999.9998</v>
      </c>
      <c r="F49" s="82">
        <f t="shared" si="10"/>
        <v>1359999999999.9998</v>
      </c>
      <c r="G49" s="82">
        <f t="shared" si="10"/>
        <v>1104999999999.9998</v>
      </c>
      <c r="H49" s="82">
        <f t="shared" si="10"/>
        <v>1019999999999.9998</v>
      </c>
      <c r="I49" s="83">
        <f t="shared" si="10"/>
        <v>0</v>
      </c>
      <c r="J49" s="82">
        <f t="shared" si="10"/>
        <v>1444999999999.9998</v>
      </c>
      <c r="K49" s="82">
        <f t="shared" si="10"/>
        <v>1444999999999.9998</v>
      </c>
      <c r="L49" s="82">
        <f t="shared" si="10"/>
        <v>1359999999999.9998</v>
      </c>
      <c r="M49" s="82">
        <f t="shared" si="10"/>
        <v>1104999999999.9998</v>
      </c>
      <c r="N49" s="82">
        <f t="shared" si="10"/>
        <v>1019999999999.9998</v>
      </c>
      <c r="O49" s="83">
        <f t="shared" si="10"/>
        <v>0</v>
      </c>
      <c r="P49" s="82">
        <f t="shared" si="11"/>
        <v>1359999999999.9998</v>
      </c>
      <c r="Q49" s="82">
        <f t="shared" si="11"/>
        <v>0</v>
      </c>
      <c r="R49" s="82">
        <f t="shared" si="11"/>
        <v>0</v>
      </c>
      <c r="S49" s="82">
        <f t="shared" si="11"/>
        <v>0</v>
      </c>
      <c r="T49" s="82">
        <f t="shared" si="11"/>
        <v>0</v>
      </c>
      <c r="U49" s="83">
        <f t="shared" si="11"/>
        <v>0</v>
      </c>
    </row>
    <row r="50" spans="1:21" x14ac:dyDescent="0.25">
      <c r="A50" s="44">
        <v>1202081.5280171307</v>
      </c>
      <c r="B50" s="18" t="s">
        <v>3</v>
      </c>
      <c r="C50" s="70">
        <v>0.5</v>
      </c>
      <c r="D50" s="81">
        <f t="shared" si="12"/>
        <v>1444999999999.9998</v>
      </c>
      <c r="E50" s="82">
        <f t="shared" si="10"/>
        <v>1444999999999.9998</v>
      </c>
      <c r="F50" s="82">
        <f t="shared" si="10"/>
        <v>1359999999999.9998</v>
      </c>
      <c r="G50" s="82">
        <f t="shared" si="10"/>
        <v>1104999999999.9998</v>
      </c>
      <c r="H50" s="82">
        <f t="shared" si="10"/>
        <v>1019999999999.9998</v>
      </c>
      <c r="I50" s="83">
        <f t="shared" si="10"/>
        <v>0</v>
      </c>
      <c r="J50" s="82">
        <f t="shared" si="10"/>
        <v>1444999999999.9998</v>
      </c>
      <c r="K50" s="82">
        <f t="shared" si="10"/>
        <v>1444999999999.9998</v>
      </c>
      <c r="L50" s="82">
        <f t="shared" si="10"/>
        <v>1359999999999.9998</v>
      </c>
      <c r="M50" s="82">
        <f t="shared" si="10"/>
        <v>1104999999999.9998</v>
      </c>
      <c r="N50" s="82">
        <f t="shared" si="10"/>
        <v>1019999999999.9998</v>
      </c>
      <c r="O50" s="83">
        <f t="shared" si="10"/>
        <v>0</v>
      </c>
      <c r="P50" s="82">
        <f t="shared" si="11"/>
        <v>1359999999999.9998</v>
      </c>
      <c r="Q50" s="82">
        <f t="shared" si="11"/>
        <v>0</v>
      </c>
      <c r="R50" s="82">
        <f t="shared" si="11"/>
        <v>0</v>
      </c>
      <c r="S50" s="82">
        <f t="shared" si="11"/>
        <v>0</v>
      </c>
      <c r="T50" s="82">
        <f t="shared" si="11"/>
        <v>0</v>
      </c>
      <c r="U50" s="83">
        <f t="shared" si="11"/>
        <v>0</v>
      </c>
    </row>
    <row r="51" spans="1:21" x14ac:dyDescent="0.25">
      <c r="A51" s="44">
        <v>1131370.8498984759</v>
      </c>
      <c r="B51" s="18" t="s">
        <v>3</v>
      </c>
      <c r="C51" s="70">
        <v>1</v>
      </c>
      <c r="D51" s="81">
        <f t="shared" si="12"/>
        <v>1359999999999.9998</v>
      </c>
      <c r="E51" s="82">
        <f t="shared" si="10"/>
        <v>1359999999999.9998</v>
      </c>
      <c r="F51" s="82">
        <f t="shared" si="10"/>
        <v>1279999999999.9998</v>
      </c>
      <c r="G51" s="82">
        <f t="shared" si="10"/>
        <v>1039999999999.9998</v>
      </c>
      <c r="H51" s="82">
        <f t="shared" si="10"/>
        <v>959999999999.99976</v>
      </c>
      <c r="I51" s="83">
        <f t="shared" si="10"/>
        <v>0</v>
      </c>
      <c r="J51" s="82">
        <f t="shared" si="10"/>
        <v>1359999999999.9998</v>
      </c>
      <c r="K51" s="82">
        <f t="shared" si="10"/>
        <v>1359999999999.9998</v>
      </c>
      <c r="L51" s="82">
        <f t="shared" si="10"/>
        <v>1279999999999.9998</v>
      </c>
      <c r="M51" s="82">
        <f t="shared" si="10"/>
        <v>1039999999999.9998</v>
      </c>
      <c r="N51" s="82">
        <f t="shared" si="10"/>
        <v>959999999999.99976</v>
      </c>
      <c r="O51" s="83">
        <f t="shared" si="10"/>
        <v>0</v>
      </c>
      <c r="P51" s="82">
        <f t="shared" si="11"/>
        <v>1279999999999.9998</v>
      </c>
      <c r="Q51" s="82">
        <f t="shared" si="11"/>
        <v>0</v>
      </c>
      <c r="R51" s="82">
        <f t="shared" si="11"/>
        <v>0</v>
      </c>
      <c r="S51" s="82">
        <f t="shared" si="11"/>
        <v>0</v>
      </c>
      <c r="T51" s="82">
        <f t="shared" si="11"/>
        <v>0</v>
      </c>
      <c r="U51" s="83">
        <f t="shared" si="11"/>
        <v>0</v>
      </c>
    </row>
    <row r="52" spans="1:21" x14ac:dyDescent="0.25">
      <c r="A52" s="44">
        <v>919238.81554251164</v>
      </c>
      <c r="B52" s="18" t="s">
        <v>3</v>
      </c>
      <c r="C52" s="70">
        <v>2</v>
      </c>
      <c r="D52" s="81">
        <f t="shared" si="12"/>
        <v>1104999999999.9998</v>
      </c>
      <c r="E52" s="82">
        <f t="shared" si="10"/>
        <v>1104999999999.9998</v>
      </c>
      <c r="F52" s="82">
        <f t="shared" si="10"/>
        <v>1039999999999.9998</v>
      </c>
      <c r="G52" s="82">
        <f t="shared" si="10"/>
        <v>844999999999.99976</v>
      </c>
      <c r="H52" s="82">
        <f t="shared" si="10"/>
        <v>779999999999.99976</v>
      </c>
      <c r="I52" s="83">
        <f t="shared" si="10"/>
        <v>0</v>
      </c>
      <c r="J52" s="82">
        <f t="shared" si="10"/>
        <v>1104999999999.9998</v>
      </c>
      <c r="K52" s="82">
        <f t="shared" si="10"/>
        <v>1104999999999.9998</v>
      </c>
      <c r="L52" s="82">
        <f t="shared" si="10"/>
        <v>1039999999999.9998</v>
      </c>
      <c r="M52" s="82">
        <f t="shared" si="10"/>
        <v>844999999999.99976</v>
      </c>
      <c r="N52" s="82">
        <f t="shared" si="10"/>
        <v>779999999999.99976</v>
      </c>
      <c r="O52" s="83">
        <f t="shared" si="10"/>
        <v>0</v>
      </c>
      <c r="P52" s="82">
        <f t="shared" si="11"/>
        <v>1039999999999.9998</v>
      </c>
      <c r="Q52" s="82">
        <f t="shared" si="11"/>
        <v>0</v>
      </c>
      <c r="R52" s="82">
        <f t="shared" si="11"/>
        <v>0</v>
      </c>
      <c r="S52" s="82">
        <f t="shared" si="11"/>
        <v>0</v>
      </c>
      <c r="T52" s="82">
        <f t="shared" si="11"/>
        <v>0</v>
      </c>
      <c r="U52" s="83">
        <f t="shared" si="11"/>
        <v>0</v>
      </c>
    </row>
    <row r="53" spans="1:21" x14ac:dyDescent="0.25">
      <c r="A53" s="44">
        <v>848528.13742385688</v>
      </c>
      <c r="B53" s="18" t="s">
        <v>3</v>
      </c>
      <c r="C53" s="70">
        <v>3</v>
      </c>
      <c r="D53" s="81">
        <f t="shared" si="12"/>
        <v>1019999999999.9998</v>
      </c>
      <c r="E53" s="82">
        <f t="shared" si="10"/>
        <v>1019999999999.9998</v>
      </c>
      <c r="F53" s="82">
        <f t="shared" si="10"/>
        <v>959999999999.99976</v>
      </c>
      <c r="G53" s="82">
        <f t="shared" si="10"/>
        <v>779999999999.99976</v>
      </c>
      <c r="H53" s="82">
        <f t="shared" si="10"/>
        <v>719999999999.99976</v>
      </c>
      <c r="I53" s="83">
        <f t="shared" si="10"/>
        <v>0</v>
      </c>
      <c r="J53" s="82">
        <f t="shared" si="10"/>
        <v>1019999999999.9998</v>
      </c>
      <c r="K53" s="82">
        <f t="shared" si="10"/>
        <v>1019999999999.9998</v>
      </c>
      <c r="L53" s="82">
        <f t="shared" si="10"/>
        <v>959999999999.99976</v>
      </c>
      <c r="M53" s="82">
        <f t="shared" si="10"/>
        <v>779999999999.99976</v>
      </c>
      <c r="N53" s="82">
        <f t="shared" si="10"/>
        <v>719999999999.99976</v>
      </c>
      <c r="O53" s="83">
        <f t="shared" si="10"/>
        <v>0</v>
      </c>
      <c r="P53" s="82">
        <f t="shared" si="11"/>
        <v>959999999999.99976</v>
      </c>
      <c r="Q53" s="82">
        <f t="shared" si="11"/>
        <v>0</v>
      </c>
      <c r="R53" s="82">
        <f t="shared" si="11"/>
        <v>0</v>
      </c>
      <c r="S53" s="82">
        <f t="shared" si="11"/>
        <v>0</v>
      </c>
      <c r="T53" s="82">
        <f t="shared" si="11"/>
        <v>0</v>
      </c>
      <c r="U53" s="83">
        <f t="shared" si="11"/>
        <v>0</v>
      </c>
    </row>
    <row r="54" spans="1:21" x14ac:dyDescent="0.25">
      <c r="A54" s="45">
        <v>0</v>
      </c>
      <c r="B54" s="19" t="s">
        <v>3</v>
      </c>
      <c r="C54" s="66">
        <v>5</v>
      </c>
      <c r="D54" s="84">
        <f t="shared" si="12"/>
        <v>0</v>
      </c>
      <c r="E54" s="85">
        <f t="shared" si="10"/>
        <v>0</v>
      </c>
      <c r="F54" s="85">
        <f t="shared" si="10"/>
        <v>0</v>
      </c>
      <c r="G54" s="85">
        <f t="shared" si="10"/>
        <v>0</v>
      </c>
      <c r="H54" s="85">
        <f t="shared" si="10"/>
        <v>0</v>
      </c>
      <c r="I54" s="86">
        <f t="shared" si="10"/>
        <v>0</v>
      </c>
      <c r="J54" s="85">
        <f t="shared" si="10"/>
        <v>0</v>
      </c>
      <c r="K54" s="85">
        <f t="shared" si="10"/>
        <v>0</v>
      </c>
      <c r="L54" s="85">
        <f t="shared" si="10"/>
        <v>0</v>
      </c>
      <c r="M54" s="85">
        <f t="shared" si="10"/>
        <v>0</v>
      </c>
      <c r="N54" s="85">
        <f t="shared" si="10"/>
        <v>0</v>
      </c>
      <c r="O54" s="86">
        <f t="shared" si="10"/>
        <v>0</v>
      </c>
      <c r="P54" s="85">
        <f t="shared" si="11"/>
        <v>0</v>
      </c>
      <c r="Q54" s="85">
        <f t="shared" si="11"/>
        <v>0</v>
      </c>
      <c r="R54" s="85">
        <f t="shared" si="11"/>
        <v>0</v>
      </c>
      <c r="S54" s="85">
        <f t="shared" si="11"/>
        <v>0</v>
      </c>
      <c r="T54" s="85">
        <f t="shared" si="11"/>
        <v>0</v>
      </c>
      <c r="U54" s="86">
        <f t="shared" si="11"/>
        <v>0</v>
      </c>
    </row>
    <row r="55" spans="1:21" x14ac:dyDescent="0.25">
      <c r="A55" s="44">
        <v>1131370.8498984759</v>
      </c>
      <c r="B55" s="18" t="s">
        <v>8</v>
      </c>
      <c r="C55" s="69">
        <v>0.25</v>
      </c>
      <c r="D55" s="81">
        <f t="shared" si="12"/>
        <v>1359999999999.9998</v>
      </c>
      <c r="E55" s="82">
        <f t="shared" si="12"/>
        <v>1359999999999.9998</v>
      </c>
      <c r="F55" s="82">
        <f t="shared" si="12"/>
        <v>1279999999999.9998</v>
      </c>
      <c r="G55" s="82">
        <f t="shared" si="12"/>
        <v>1039999999999.9998</v>
      </c>
      <c r="H55" s="82">
        <f t="shared" si="12"/>
        <v>959999999999.99976</v>
      </c>
      <c r="I55" s="83">
        <f t="shared" si="12"/>
        <v>0</v>
      </c>
      <c r="J55" s="82">
        <f t="shared" si="12"/>
        <v>1359999999999.9998</v>
      </c>
      <c r="K55" s="82">
        <f t="shared" si="12"/>
        <v>1359999999999.9998</v>
      </c>
      <c r="L55" s="82">
        <f t="shared" si="12"/>
        <v>1279999999999.9998</v>
      </c>
      <c r="M55" s="82">
        <f t="shared" si="12"/>
        <v>1039999999999.9998</v>
      </c>
      <c r="N55" s="82">
        <f t="shared" si="12"/>
        <v>959999999999.99976</v>
      </c>
      <c r="O55" s="83">
        <f t="shared" si="12"/>
        <v>0</v>
      </c>
      <c r="P55" s="82">
        <f t="shared" si="11"/>
        <v>1279999999999.9998</v>
      </c>
      <c r="Q55" s="82">
        <f t="shared" si="11"/>
        <v>0</v>
      </c>
      <c r="R55" s="82">
        <f t="shared" si="11"/>
        <v>0</v>
      </c>
      <c r="S55" s="82">
        <f t="shared" si="11"/>
        <v>0</v>
      </c>
      <c r="T55" s="82">
        <f t="shared" si="11"/>
        <v>0</v>
      </c>
      <c r="U55" s="83">
        <f t="shared" si="11"/>
        <v>0</v>
      </c>
    </row>
    <row r="56" spans="1:21" x14ac:dyDescent="0.25">
      <c r="A56" s="44">
        <v>0</v>
      </c>
      <c r="B56" s="18" t="s">
        <v>8</v>
      </c>
      <c r="C56" s="70">
        <v>0.5</v>
      </c>
      <c r="D56" s="81">
        <f t="shared" si="12"/>
        <v>0</v>
      </c>
      <c r="E56" s="82">
        <f t="shared" si="12"/>
        <v>0</v>
      </c>
      <c r="F56" s="82">
        <f t="shared" si="12"/>
        <v>0</v>
      </c>
      <c r="G56" s="82">
        <f t="shared" si="12"/>
        <v>0</v>
      </c>
      <c r="H56" s="82">
        <f t="shared" si="12"/>
        <v>0</v>
      </c>
      <c r="I56" s="83">
        <f t="shared" si="12"/>
        <v>0</v>
      </c>
      <c r="J56" s="82">
        <f t="shared" si="12"/>
        <v>0</v>
      </c>
      <c r="K56" s="82">
        <f t="shared" si="12"/>
        <v>0</v>
      </c>
      <c r="L56" s="82">
        <f t="shared" si="12"/>
        <v>0</v>
      </c>
      <c r="M56" s="82">
        <f t="shared" si="12"/>
        <v>0</v>
      </c>
      <c r="N56" s="82">
        <f t="shared" si="12"/>
        <v>0</v>
      </c>
      <c r="O56" s="83">
        <f t="shared" si="12"/>
        <v>0</v>
      </c>
      <c r="P56" s="82">
        <f t="shared" si="11"/>
        <v>0</v>
      </c>
      <c r="Q56" s="82">
        <f t="shared" si="11"/>
        <v>0</v>
      </c>
      <c r="R56" s="82">
        <f t="shared" si="11"/>
        <v>0</v>
      </c>
      <c r="S56" s="82">
        <f t="shared" si="11"/>
        <v>0</v>
      </c>
      <c r="T56" s="82">
        <f t="shared" si="11"/>
        <v>0</v>
      </c>
      <c r="U56" s="83">
        <f t="shared" si="11"/>
        <v>0</v>
      </c>
    </row>
    <row r="57" spans="1:21" x14ac:dyDescent="0.25">
      <c r="A57" s="44">
        <v>0</v>
      </c>
      <c r="B57" s="18" t="s">
        <v>8</v>
      </c>
      <c r="C57" s="70">
        <v>1</v>
      </c>
      <c r="D57" s="81">
        <f t="shared" si="12"/>
        <v>0</v>
      </c>
      <c r="E57" s="82">
        <f t="shared" si="12"/>
        <v>0</v>
      </c>
      <c r="F57" s="82">
        <f t="shared" si="12"/>
        <v>0</v>
      </c>
      <c r="G57" s="82">
        <f t="shared" si="12"/>
        <v>0</v>
      </c>
      <c r="H57" s="82">
        <f t="shared" si="12"/>
        <v>0</v>
      </c>
      <c r="I57" s="83">
        <f t="shared" si="12"/>
        <v>0</v>
      </c>
      <c r="J57" s="82">
        <f t="shared" si="12"/>
        <v>0</v>
      </c>
      <c r="K57" s="82">
        <f t="shared" si="12"/>
        <v>0</v>
      </c>
      <c r="L57" s="82">
        <f t="shared" si="12"/>
        <v>0</v>
      </c>
      <c r="M57" s="82">
        <f t="shared" si="12"/>
        <v>0</v>
      </c>
      <c r="N57" s="82">
        <f t="shared" si="12"/>
        <v>0</v>
      </c>
      <c r="O57" s="83">
        <f t="shared" si="12"/>
        <v>0</v>
      </c>
      <c r="P57" s="82">
        <f t="shared" si="11"/>
        <v>0</v>
      </c>
      <c r="Q57" s="82">
        <f t="shared" si="11"/>
        <v>0</v>
      </c>
      <c r="R57" s="82">
        <f t="shared" si="11"/>
        <v>0</v>
      </c>
      <c r="S57" s="82">
        <f t="shared" si="11"/>
        <v>0</v>
      </c>
      <c r="T57" s="82">
        <f t="shared" si="11"/>
        <v>0</v>
      </c>
      <c r="U57" s="83">
        <f t="shared" si="11"/>
        <v>0</v>
      </c>
    </row>
    <row r="58" spans="1:21" x14ac:dyDescent="0.25">
      <c r="A58" s="44">
        <v>0</v>
      </c>
      <c r="B58" s="18" t="s">
        <v>8</v>
      </c>
      <c r="C58" s="70">
        <v>2</v>
      </c>
      <c r="D58" s="81">
        <f t="shared" si="12"/>
        <v>0</v>
      </c>
      <c r="E58" s="82">
        <f t="shared" si="12"/>
        <v>0</v>
      </c>
      <c r="F58" s="82">
        <f t="shared" si="12"/>
        <v>0</v>
      </c>
      <c r="G58" s="82">
        <f t="shared" si="12"/>
        <v>0</v>
      </c>
      <c r="H58" s="82">
        <f t="shared" si="12"/>
        <v>0</v>
      </c>
      <c r="I58" s="83">
        <f t="shared" si="12"/>
        <v>0</v>
      </c>
      <c r="J58" s="82">
        <f t="shared" si="12"/>
        <v>0</v>
      </c>
      <c r="K58" s="82">
        <f t="shared" si="12"/>
        <v>0</v>
      </c>
      <c r="L58" s="82">
        <f t="shared" si="12"/>
        <v>0</v>
      </c>
      <c r="M58" s="82">
        <f t="shared" si="12"/>
        <v>0</v>
      </c>
      <c r="N58" s="82">
        <f t="shared" si="12"/>
        <v>0</v>
      </c>
      <c r="O58" s="83">
        <f t="shared" si="12"/>
        <v>0</v>
      </c>
      <c r="P58" s="82">
        <f t="shared" si="11"/>
        <v>0</v>
      </c>
      <c r="Q58" s="82">
        <f t="shared" si="11"/>
        <v>0</v>
      </c>
      <c r="R58" s="82">
        <f t="shared" si="11"/>
        <v>0</v>
      </c>
      <c r="S58" s="82">
        <f t="shared" si="11"/>
        <v>0</v>
      </c>
      <c r="T58" s="82">
        <f t="shared" si="11"/>
        <v>0</v>
      </c>
      <c r="U58" s="83">
        <f t="shared" si="11"/>
        <v>0</v>
      </c>
    </row>
    <row r="59" spans="1:21" x14ac:dyDescent="0.25">
      <c r="A59" s="44">
        <v>0</v>
      </c>
      <c r="B59" s="18" t="s">
        <v>8</v>
      </c>
      <c r="C59" s="70">
        <v>3</v>
      </c>
      <c r="D59" s="81">
        <f t="shared" si="12"/>
        <v>0</v>
      </c>
      <c r="E59" s="82">
        <f t="shared" si="12"/>
        <v>0</v>
      </c>
      <c r="F59" s="82">
        <f t="shared" si="12"/>
        <v>0</v>
      </c>
      <c r="G59" s="82">
        <f t="shared" si="12"/>
        <v>0</v>
      </c>
      <c r="H59" s="82">
        <f t="shared" si="12"/>
        <v>0</v>
      </c>
      <c r="I59" s="83">
        <f t="shared" si="12"/>
        <v>0</v>
      </c>
      <c r="J59" s="82">
        <f t="shared" si="12"/>
        <v>0</v>
      </c>
      <c r="K59" s="82">
        <f t="shared" si="12"/>
        <v>0</v>
      </c>
      <c r="L59" s="82">
        <f t="shared" si="12"/>
        <v>0</v>
      </c>
      <c r="M59" s="82">
        <f t="shared" si="12"/>
        <v>0</v>
      </c>
      <c r="N59" s="82">
        <f t="shared" si="12"/>
        <v>0</v>
      </c>
      <c r="O59" s="83">
        <f t="shared" si="12"/>
        <v>0</v>
      </c>
      <c r="P59" s="82">
        <f t="shared" si="11"/>
        <v>0</v>
      </c>
      <c r="Q59" s="82">
        <f t="shared" si="11"/>
        <v>0</v>
      </c>
      <c r="R59" s="82">
        <f t="shared" si="11"/>
        <v>0</v>
      </c>
      <c r="S59" s="82">
        <f t="shared" si="11"/>
        <v>0</v>
      </c>
      <c r="T59" s="82">
        <f t="shared" si="11"/>
        <v>0</v>
      </c>
      <c r="U59" s="83">
        <f t="shared" si="11"/>
        <v>0</v>
      </c>
    </row>
    <row r="60" spans="1:21" x14ac:dyDescent="0.25">
      <c r="A60" s="45">
        <v>0</v>
      </c>
      <c r="B60" s="19" t="s">
        <v>8</v>
      </c>
      <c r="C60" s="66">
        <v>5</v>
      </c>
      <c r="D60" s="84">
        <f t="shared" ref="D60:O60" si="13">+$A60*D$40</f>
        <v>0</v>
      </c>
      <c r="E60" s="85">
        <f t="shared" si="13"/>
        <v>0</v>
      </c>
      <c r="F60" s="85">
        <f t="shared" si="13"/>
        <v>0</v>
      </c>
      <c r="G60" s="85">
        <f t="shared" si="13"/>
        <v>0</v>
      </c>
      <c r="H60" s="85">
        <f t="shared" si="13"/>
        <v>0</v>
      </c>
      <c r="I60" s="86">
        <f t="shared" si="13"/>
        <v>0</v>
      </c>
      <c r="J60" s="85">
        <f t="shared" si="13"/>
        <v>0</v>
      </c>
      <c r="K60" s="85">
        <f t="shared" si="13"/>
        <v>0</v>
      </c>
      <c r="L60" s="85">
        <f t="shared" si="13"/>
        <v>0</v>
      </c>
      <c r="M60" s="85">
        <f t="shared" si="13"/>
        <v>0</v>
      </c>
      <c r="N60" s="85">
        <f t="shared" si="13"/>
        <v>0</v>
      </c>
      <c r="O60" s="86">
        <f t="shared" si="13"/>
        <v>0</v>
      </c>
      <c r="P60" s="85">
        <f t="shared" si="11"/>
        <v>0</v>
      </c>
      <c r="Q60" s="85">
        <f t="shared" si="11"/>
        <v>0</v>
      </c>
      <c r="R60" s="85">
        <f t="shared" si="11"/>
        <v>0</v>
      </c>
      <c r="S60" s="85">
        <f t="shared" si="11"/>
        <v>0</v>
      </c>
      <c r="T60" s="85">
        <f t="shared" si="11"/>
        <v>0</v>
      </c>
      <c r="U60" s="86">
        <f t="shared" si="11"/>
        <v>0</v>
      </c>
    </row>
    <row r="61" spans="1:21" x14ac:dyDescent="0.25">
      <c r="P61" s="13"/>
      <c r="Q61" s="13"/>
      <c r="R61" s="13"/>
      <c r="S61" s="13"/>
      <c r="T61" s="13"/>
      <c r="U61" s="13"/>
    </row>
    <row r="63" spans="1:21" ht="15.75" x14ac:dyDescent="0.25">
      <c r="A63" s="1" t="s">
        <v>18</v>
      </c>
      <c r="C63" s="87">
        <f>+SQRT(SUMPRODUCT(D21:U38,D43:U60))</f>
        <v>9608819.8337090351</v>
      </c>
    </row>
    <row r="64" spans="1:21" x14ac:dyDescent="0.25">
      <c r="A64" s="1" t="s">
        <v>19</v>
      </c>
      <c r="B64" s="46">
        <f>+correlaciones!$Y$2</f>
        <v>1</v>
      </c>
    </row>
  </sheetData>
  <dataValidations count="1">
    <dataValidation type="list" allowBlank="1" showInputMessage="1" showErrorMessage="1" sqref="A10" xr:uid="{00000000-0002-0000-0600-000000000000}">
      <formula1>"SI,NO"</formula1>
    </dataValidation>
  </dataValidations>
  <pageMargins left="0.7" right="0.7" top="0.75" bottom="0.75" header="0.3" footer="0.3"/>
  <pageSetup paperSize="9" orientation="portrait" verticalDpi="0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78"/>
  <sheetViews>
    <sheetView showGridLines="0" tabSelected="1" zoomScale="85" zoomScaleNormal="85" zoomScalePageLayoutView="85" workbookViewId="0">
      <selection activeCell="K11" sqref="K11"/>
    </sheetView>
  </sheetViews>
  <sheetFormatPr defaultColWidth="8.85546875" defaultRowHeight="15" x14ac:dyDescent="0.25"/>
  <cols>
    <col min="1" max="1" width="15.42578125" customWidth="1"/>
    <col min="2" max="2" width="12.42578125" bestFit="1" customWidth="1"/>
    <col min="3" max="3" width="12.5703125" bestFit="1" customWidth="1"/>
    <col min="4" max="8" width="19.5703125" style="14" bestFit="1" customWidth="1"/>
    <col min="9" max="9" width="9.7109375" style="14" bestFit="1" customWidth="1"/>
    <col min="10" max="14" width="19.5703125" style="14" bestFit="1" customWidth="1"/>
    <col min="15" max="15" width="9.7109375" style="14" bestFit="1" customWidth="1"/>
    <col min="16" max="16" width="19.5703125" style="14" bestFit="1" customWidth="1"/>
    <col min="17" max="21" width="13" style="14" bestFit="1" customWidth="1"/>
    <col min="22" max="22" width="19.5703125" bestFit="1" customWidth="1"/>
    <col min="23" max="27" width="13" bestFit="1" customWidth="1"/>
  </cols>
  <sheetData>
    <row r="1" spans="1:9" ht="15.75" x14ac:dyDescent="0.25">
      <c r="A1" s="16" t="s">
        <v>36</v>
      </c>
      <c r="D1"/>
      <c r="E1"/>
      <c r="F1"/>
      <c r="G1"/>
      <c r="H1"/>
      <c r="I1"/>
    </row>
    <row r="2" spans="1:9" ht="15.75" x14ac:dyDescent="0.25">
      <c r="A2" s="16"/>
      <c r="D2"/>
      <c r="E2"/>
      <c r="F2"/>
      <c r="G2"/>
      <c r="H2"/>
      <c r="I2"/>
    </row>
    <row r="3" spans="1:9" x14ac:dyDescent="0.25">
      <c r="A3" s="7" t="s">
        <v>12</v>
      </c>
      <c r="D3"/>
      <c r="E3"/>
      <c r="F3"/>
      <c r="G3"/>
      <c r="H3"/>
      <c r="I3"/>
    </row>
    <row r="4" spans="1:9" x14ac:dyDescent="0.25">
      <c r="C4" s="20" t="s">
        <v>1</v>
      </c>
      <c r="D4" s="21">
        <v>0.25</v>
      </c>
      <c r="E4" s="21">
        <v>0.5</v>
      </c>
      <c r="F4" s="21">
        <v>1</v>
      </c>
      <c r="G4" s="21">
        <v>2</v>
      </c>
      <c r="H4" s="21">
        <v>3</v>
      </c>
      <c r="I4" s="22">
        <v>5</v>
      </c>
    </row>
    <row r="5" spans="1:9" x14ac:dyDescent="0.25">
      <c r="A5" s="20" t="s">
        <v>23</v>
      </c>
      <c r="B5" s="22" t="s">
        <v>2</v>
      </c>
      <c r="D5" s="109">
        <v>10000</v>
      </c>
      <c r="E5" s="109">
        <v>10000</v>
      </c>
      <c r="F5" s="109">
        <v>10000</v>
      </c>
      <c r="G5" s="109">
        <v>10000</v>
      </c>
      <c r="H5" s="109">
        <v>10000</v>
      </c>
      <c r="I5" s="53"/>
    </row>
    <row r="6" spans="1:9" x14ac:dyDescent="0.25">
      <c r="A6" s="20" t="s">
        <v>24</v>
      </c>
      <c r="B6" s="22" t="s">
        <v>3</v>
      </c>
      <c r="D6" s="110">
        <v>10000</v>
      </c>
      <c r="E6" s="110">
        <v>10000</v>
      </c>
      <c r="F6" s="110">
        <v>10000</v>
      </c>
      <c r="G6" s="110">
        <v>10000</v>
      </c>
      <c r="H6" s="110">
        <v>10000</v>
      </c>
      <c r="I6" s="54"/>
    </row>
    <row r="7" spans="1:9" x14ac:dyDescent="0.25">
      <c r="A7" s="20" t="s">
        <v>31</v>
      </c>
      <c r="B7" s="22" t="s">
        <v>8</v>
      </c>
      <c r="D7" s="110">
        <v>10000</v>
      </c>
      <c r="E7" s="110"/>
      <c r="F7" s="110"/>
      <c r="G7" s="110"/>
      <c r="H7" s="110"/>
      <c r="I7" s="54"/>
    </row>
    <row r="8" spans="1:9" x14ac:dyDescent="0.25">
      <c r="A8" s="20" t="s">
        <v>33</v>
      </c>
      <c r="B8" s="22" t="s">
        <v>8</v>
      </c>
      <c r="D8" s="111">
        <v>10000</v>
      </c>
      <c r="E8" s="111"/>
      <c r="F8" s="111"/>
      <c r="G8" s="111"/>
      <c r="H8" s="111"/>
      <c r="I8" s="35"/>
    </row>
    <row r="10" spans="1:9" x14ac:dyDescent="0.25">
      <c r="A10" s="7" t="s">
        <v>14</v>
      </c>
    </row>
    <row r="11" spans="1:9" x14ac:dyDescent="0.25">
      <c r="A11" s="23" t="s">
        <v>13</v>
      </c>
      <c r="C11" s="20" t="s">
        <v>1</v>
      </c>
      <c r="D11" s="21">
        <v>0.25</v>
      </c>
      <c r="E11" s="21">
        <v>0.5</v>
      </c>
      <c r="F11" s="21">
        <v>1</v>
      </c>
      <c r="G11" s="21">
        <v>2</v>
      </c>
      <c r="H11" s="21">
        <v>3</v>
      </c>
      <c r="I11" s="22">
        <v>5</v>
      </c>
    </row>
    <row r="12" spans="1:9" x14ac:dyDescent="0.25">
      <c r="A12">
        <f>+IF(A11="SI",SQRT(2),1)</f>
        <v>1.4142135623730951</v>
      </c>
      <c r="C12" s="33" t="s">
        <v>29</v>
      </c>
      <c r="D12" s="33">
        <v>170</v>
      </c>
      <c r="E12" s="33">
        <v>170</v>
      </c>
      <c r="F12" s="33">
        <v>160</v>
      </c>
      <c r="G12" s="33">
        <v>130</v>
      </c>
      <c r="H12" s="33">
        <v>120</v>
      </c>
      <c r="I12" s="33">
        <v>110</v>
      </c>
    </row>
    <row r="13" spans="1:9" x14ac:dyDescent="0.25">
      <c r="C13" s="34" t="s">
        <v>30</v>
      </c>
      <c r="D13" s="34">
        <f>+D12/$A$12</f>
        <v>120.20815280171307</v>
      </c>
      <c r="E13" s="34">
        <f t="shared" ref="E13:I13" si="0">+E12/$A$12</f>
        <v>120.20815280171307</v>
      </c>
      <c r="F13" s="34">
        <f t="shared" si="0"/>
        <v>113.13708498984759</v>
      </c>
      <c r="G13" s="34">
        <f t="shared" si="0"/>
        <v>91.923881554251167</v>
      </c>
      <c r="H13" s="34">
        <f t="shared" si="0"/>
        <v>84.852813742385692</v>
      </c>
      <c r="I13" s="34">
        <f t="shared" si="0"/>
        <v>77.781745930520216</v>
      </c>
    </row>
    <row r="15" spans="1:9" x14ac:dyDescent="0.25">
      <c r="A15" s="7" t="s">
        <v>15</v>
      </c>
      <c r="B15" s="21" t="s">
        <v>23</v>
      </c>
      <c r="C15" s="22" t="s">
        <v>2</v>
      </c>
      <c r="D15" s="38">
        <f t="shared" ref="D15:I15" si="1">+D13*D5</f>
        <v>1202081.5280171307</v>
      </c>
      <c r="E15" s="39">
        <f t="shared" si="1"/>
        <v>1202081.5280171307</v>
      </c>
      <c r="F15" s="39">
        <f t="shared" si="1"/>
        <v>1131370.8498984759</v>
      </c>
      <c r="G15" s="39">
        <f t="shared" si="1"/>
        <v>919238.81554251164</v>
      </c>
      <c r="H15" s="39">
        <f t="shared" si="1"/>
        <v>848528.13742385688</v>
      </c>
      <c r="I15" s="39">
        <f t="shared" si="1"/>
        <v>0</v>
      </c>
    </row>
    <row r="16" spans="1:9" x14ac:dyDescent="0.25">
      <c r="A16" s="7"/>
      <c r="B16" s="20" t="s">
        <v>24</v>
      </c>
      <c r="C16" s="22" t="s">
        <v>3</v>
      </c>
      <c r="D16" s="55">
        <f>+D13*D6</f>
        <v>1202081.5280171307</v>
      </c>
      <c r="E16" s="55">
        <f t="shared" ref="E16:I16" si="2">+E13*E6</f>
        <v>1202081.5280171307</v>
      </c>
      <c r="F16" s="55">
        <f t="shared" si="2"/>
        <v>1131370.8498984759</v>
      </c>
      <c r="G16" s="55">
        <f t="shared" si="2"/>
        <v>919238.81554251164</v>
      </c>
      <c r="H16" s="55">
        <f t="shared" si="2"/>
        <v>848528.13742385688</v>
      </c>
      <c r="I16" s="55">
        <f t="shared" si="2"/>
        <v>0</v>
      </c>
    </row>
    <row r="17" spans="1:27" x14ac:dyDescent="0.25">
      <c r="A17" s="7"/>
      <c r="B17" s="20" t="s">
        <v>31</v>
      </c>
      <c r="C17" s="22" t="s">
        <v>8</v>
      </c>
      <c r="D17" s="64">
        <f>+SUM(D7:I7)*160/A12</f>
        <v>1131370.8498984759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</row>
    <row r="18" spans="1:27" x14ac:dyDescent="0.25">
      <c r="A18" s="7"/>
      <c r="B18" s="20" t="s">
        <v>33</v>
      </c>
      <c r="C18" s="22" t="s">
        <v>8</v>
      </c>
      <c r="D18" s="56">
        <f>+SUM(D8:I8)*160/A12</f>
        <v>1131370.8498984759</v>
      </c>
      <c r="E18" s="57">
        <v>0</v>
      </c>
      <c r="F18" s="57">
        <v>0</v>
      </c>
      <c r="G18" s="57">
        <v>0</v>
      </c>
      <c r="H18" s="57">
        <v>0</v>
      </c>
      <c r="I18" s="57">
        <v>0</v>
      </c>
    </row>
    <row r="20" spans="1:27" x14ac:dyDescent="0.25">
      <c r="A20" s="7" t="s">
        <v>16</v>
      </c>
      <c r="D20" s="47" t="s">
        <v>25</v>
      </c>
      <c r="E20" s="48" t="s">
        <v>25</v>
      </c>
      <c r="F20" s="48" t="s">
        <v>25</v>
      </c>
      <c r="G20" s="48" t="s">
        <v>25</v>
      </c>
      <c r="H20" s="48" t="s">
        <v>25</v>
      </c>
      <c r="I20" s="49" t="s">
        <v>25</v>
      </c>
      <c r="J20" s="48" t="s">
        <v>26</v>
      </c>
      <c r="K20" s="48" t="s">
        <v>26</v>
      </c>
      <c r="L20" s="48" t="s">
        <v>26</v>
      </c>
      <c r="M20" s="48" t="s">
        <v>26</v>
      </c>
      <c r="N20" s="48" t="s">
        <v>26</v>
      </c>
      <c r="O20" s="49" t="s">
        <v>26</v>
      </c>
      <c r="P20" s="47" t="s">
        <v>31</v>
      </c>
      <c r="Q20" s="48" t="s">
        <v>31</v>
      </c>
      <c r="R20" s="48" t="s">
        <v>31</v>
      </c>
      <c r="S20" s="48" t="s">
        <v>31</v>
      </c>
      <c r="T20" s="48" t="s">
        <v>31</v>
      </c>
      <c r="U20" s="49" t="s">
        <v>31</v>
      </c>
      <c r="V20" s="48" t="s">
        <v>33</v>
      </c>
      <c r="W20" s="48" t="s">
        <v>33</v>
      </c>
      <c r="X20" s="48" t="s">
        <v>33</v>
      </c>
      <c r="Y20" s="48" t="s">
        <v>33</v>
      </c>
      <c r="Z20" s="48" t="s">
        <v>33</v>
      </c>
      <c r="AA20" s="49" t="s">
        <v>33</v>
      </c>
    </row>
    <row r="21" spans="1:27" x14ac:dyDescent="0.25">
      <c r="C21" s="20" t="s">
        <v>0</v>
      </c>
      <c r="D21" s="21" t="str">
        <f t="array" ref="D21:I21">+TRANSPOSE(B23:B28)</f>
        <v>1M</v>
      </c>
      <c r="E21" s="21" t="str">
        <v>1M</v>
      </c>
      <c r="F21" s="21" t="str">
        <v>1M</v>
      </c>
      <c r="G21" s="21" t="str">
        <v>1M</v>
      </c>
      <c r="H21" s="21" t="str">
        <v>1M</v>
      </c>
      <c r="I21" s="22" t="str">
        <v>1M</v>
      </c>
      <c r="J21" s="21" t="s">
        <v>3</v>
      </c>
      <c r="K21" s="21" t="s">
        <v>3</v>
      </c>
      <c r="L21" s="21" t="s">
        <v>3</v>
      </c>
      <c r="M21" s="21" t="s">
        <v>3</v>
      </c>
      <c r="N21" s="21" t="s">
        <v>3</v>
      </c>
      <c r="O21" s="22" t="s">
        <v>3</v>
      </c>
      <c r="P21" s="21" t="s">
        <v>8</v>
      </c>
      <c r="Q21" s="21" t="s">
        <v>8</v>
      </c>
      <c r="R21" s="21" t="s">
        <v>8</v>
      </c>
      <c r="S21" s="21" t="s">
        <v>8</v>
      </c>
      <c r="T21" s="21" t="s">
        <v>8</v>
      </c>
      <c r="U21" s="22" t="s">
        <v>8</v>
      </c>
      <c r="V21" s="21" t="s">
        <v>8</v>
      </c>
      <c r="W21" s="21" t="s">
        <v>8</v>
      </c>
      <c r="X21" s="21" t="s">
        <v>8</v>
      </c>
      <c r="Y21" s="21" t="s">
        <v>8</v>
      </c>
      <c r="Z21" s="21" t="s">
        <v>8</v>
      </c>
      <c r="AA21" s="22" t="s">
        <v>8</v>
      </c>
    </row>
    <row r="22" spans="1:27" x14ac:dyDescent="0.25">
      <c r="B22" s="17" t="s">
        <v>0</v>
      </c>
      <c r="C22" s="66" t="s">
        <v>1</v>
      </c>
      <c r="D22" s="67">
        <f t="array" ref="D22:I22">+TRANSPOSE(C23:C28)</f>
        <v>0.25</v>
      </c>
      <c r="E22" s="67">
        <v>0.5</v>
      </c>
      <c r="F22" s="67">
        <v>1</v>
      </c>
      <c r="G22" s="67">
        <v>2</v>
      </c>
      <c r="H22" s="67">
        <v>3</v>
      </c>
      <c r="I22" s="68">
        <v>5</v>
      </c>
      <c r="J22" s="67">
        <v>0.25</v>
      </c>
      <c r="K22" s="67">
        <v>0.5</v>
      </c>
      <c r="L22" s="67">
        <v>1</v>
      </c>
      <c r="M22" s="67">
        <v>2</v>
      </c>
      <c r="N22" s="67">
        <v>3</v>
      </c>
      <c r="O22" s="68">
        <v>5</v>
      </c>
      <c r="P22" s="67">
        <v>0.25</v>
      </c>
      <c r="Q22" s="67">
        <v>0.5</v>
      </c>
      <c r="R22" s="67">
        <v>1</v>
      </c>
      <c r="S22" s="67">
        <v>2</v>
      </c>
      <c r="T22" s="67">
        <v>3</v>
      </c>
      <c r="U22" s="68">
        <v>5</v>
      </c>
      <c r="V22" s="67">
        <v>0.25</v>
      </c>
      <c r="W22" s="67">
        <v>0.5</v>
      </c>
      <c r="X22" s="67">
        <v>1</v>
      </c>
      <c r="Y22" s="67">
        <v>2</v>
      </c>
      <c r="Z22" s="67">
        <v>3</v>
      </c>
      <c r="AA22" s="68">
        <v>5</v>
      </c>
    </row>
    <row r="23" spans="1:27" x14ac:dyDescent="0.25">
      <c r="A23" s="50" t="s">
        <v>25</v>
      </c>
      <c r="B23" s="18" t="s">
        <v>2</v>
      </c>
      <c r="C23" s="69">
        <v>0.25</v>
      </c>
      <c r="D23" s="91">
        <f>+correlaciones!Z14</f>
        <v>1</v>
      </c>
      <c r="E23" s="92">
        <f>+correlaciones!AA14</f>
        <v>0.97044553354850815</v>
      </c>
      <c r="F23" s="92">
        <f>+correlaciones!AB14</f>
        <v>0.91393118527122819</v>
      </c>
      <c r="G23" s="92">
        <f>+correlaciones!AC14</f>
        <v>0.81058424597018708</v>
      </c>
      <c r="H23" s="92">
        <f>+correlaciones!AD14</f>
        <v>0.71892373343192617</v>
      </c>
      <c r="I23" s="93">
        <f>+correlaciones!AE14</f>
        <v>0.56552543869953709</v>
      </c>
      <c r="J23" s="92">
        <f t="shared" ref="J23:O28" si="3">0.5*$B$78</f>
        <v>0.5</v>
      </c>
      <c r="K23" s="92">
        <f t="shared" si="3"/>
        <v>0.5</v>
      </c>
      <c r="L23" s="92">
        <f t="shared" si="3"/>
        <v>0.5</v>
      </c>
      <c r="M23" s="92">
        <f t="shared" si="3"/>
        <v>0.5</v>
      </c>
      <c r="N23" s="92">
        <f t="shared" si="3"/>
        <v>0.5</v>
      </c>
      <c r="O23" s="93">
        <f t="shared" si="3"/>
        <v>0.5</v>
      </c>
      <c r="P23" s="91">
        <f t="shared" ref="P23:U28" si="4">0.4*$B$78</f>
        <v>0.4</v>
      </c>
      <c r="Q23" s="92">
        <f t="shared" si="4"/>
        <v>0.4</v>
      </c>
      <c r="R23" s="92">
        <f t="shared" si="4"/>
        <v>0.4</v>
      </c>
      <c r="S23" s="92">
        <f t="shared" si="4"/>
        <v>0.4</v>
      </c>
      <c r="T23" s="92">
        <f t="shared" si="4"/>
        <v>0.4</v>
      </c>
      <c r="U23" s="93">
        <f t="shared" si="4"/>
        <v>0.4</v>
      </c>
      <c r="V23" s="92">
        <f t="shared" ref="V23:AA28" si="5">0.5*$B$78</f>
        <v>0.5</v>
      </c>
      <c r="W23" s="92">
        <f t="shared" si="5"/>
        <v>0.5</v>
      </c>
      <c r="X23" s="92">
        <f t="shared" si="5"/>
        <v>0.5</v>
      </c>
      <c r="Y23" s="92">
        <f t="shared" si="5"/>
        <v>0.5</v>
      </c>
      <c r="Z23" s="92">
        <f t="shared" si="5"/>
        <v>0.5</v>
      </c>
      <c r="AA23" s="93">
        <f t="shared" si="5"/>
        <v>0.5</v>
      </c>
    </row>
    <row r="24" spans="1:27" x14ac:dyDescent="0.25">
      <c r="A24" s="51" t="s">
        <v>25</v>
      </c>
      <c r="B24" s="18" t="s">
        <v>2</v>
      </c>
      <c r="C24" s="70">
        <v>0.5</v>
      </c>
      <c r="D24" s="94">
        <f>+correlaciones!Z15</f>
        <v>0.97044553354850815</v>
      </c>
      <c r="E24" s="95">
        <f>+correlaciones!AA15</f>
        <v>1</v>
      </c>
      <c r="F24" s="95">
        <f>+correlaciones!AB15</f>
        <v>0.97044553354850815</v>
      </c>
      <c r="G24" s="95">
        <f>+correlaciones!AC15</f>
        <v>0.91393118527122819</v>
      </c>
      <c r="H24" s="95">
        <f>+correlaciones!AD15</f>
        <v>0.86070797642505781</v>
      </c>
      <c r="I24" s="96">
        <f>+correlaciones!AE15</f>
        <v>0.76337949433685315</v>
      </c>
      <c r="J24" s="95">
        <f t="shared" si="3"/>
        <v>0.5</v>
      </c>
      <c r="K24" s="95">
        <f t="shared" si="3"/>
        <v>0.5</v>
      </c>
      <c r="L24" s="95">
        <f t="shared" si="3"/>
        <v>0.5</v>
      </c>
      <c r="M24" s="95">
        <f t="shared" si="3"/>
        <v>0.5</v>
      </c>
      <c r="N24" s="95">
        <f t="shared" si="3"/>
        <v>0.5</v>
      </c>
      <c r="O24" s="96">
        <f t="shared" si="3"/>
        <v>0.5</v>
      </c>
      <c r="P24" s="94">
        <f t="shared" si="4"/>
        <v>0.4</v>
      </c>
      <c r="Q24" s="95">
        <f t="shared" si="4"/>
        <v>0.4</v>
      </c>
      <c r="R24" s="95">
        <f t="shared" si="4"/>
        <v>0.4</v>
      </c>
      <c r="S24" s="95">
        <f t="shared" si="4"/>
        <v>0.4</v>
      </c>
      <c r="T24" s="95">
        <f t="shared" si="4"/>
        <v>0.4</v>
      </c>
      <c r="U24" s="96">
        <f t="shared" si="4"/>
        <v>0.4</v>
      </c>
      <c r="V24" s="95">
        <f t="shared" si="5"/>
        <v>0.5</v>
      </c>
      <c r="W24" s="95">
        <f t="shared" si="5"/>
        <v>0.5</v>
      </c>
      <c r="X24" s="95">
        <f t="shared" si="5"/>
        <v>0.5</v>
      </c>
      <c r="Y24" s="95">
        <f t="shared" si="5"/>
        <v>0.5</v>
      </c>
      <c r="Z24" s="95">
        <f t="shared" si="5"/>
        <v>0.5</v>
      </c>
      <c r="AA24" s="96">
        <f t="shared" si="5"/>
        <v>0.5</v>
      </c>
    </row>
    <row r="25" spans="1:27" x14ac:dyDescent="0.25">
      <c r="A25" s="51" t="s">
        <v>25</v>
      </c>
      <c r="B25" s="18" t="s">
        <v>2</v>
      </c>
      <c r="C25" s="70">
        <v>1</v>
      </c>
      <c r="D25" s="94">
        <f>+correlaciones!Z16</f>
        <v>0.91393118527122819</v>
      </c>
      <c r="E25" s="95">
        <f>+correlaciones!AA16</f>
        <v>0.97044553354850815</v>
      </c>
      <c r="F25" s="95">
        <f>+correlaciones!AB16</f>
        <v>1</v>
      </c>
      <c r="G25" s="95">
        <f>+correlaciones!AC16</f>
        <v>0.97044553354850815</v>
      </c>
      <c r="H25" s="95">
        <f>+correlaciones!AD16</f>
        <v>0.94176453358424872</v>
      </c>
      <c r="I25" s="96">
        <f>+correlaciones!AE16</f>
        <v>0.88692043671715748</v>
      </c>
      <c r="J25" s="95">
        <f t="shared" si="3"/>
        <v>0.5</v>
      </c>
      <c r="K25" s="95">
        <f t="shared" si="3"/>
        <v>0.5</v>
      </c>
      <c r="L25" s="95">
        <f t="shared" si="3"/>
        <v>0.5</v>
      </c>
      <c r="M25" s="95">
        <f t="shared" si="3"/>
        <v>0.5</v>
      </c>
      <c r="N25" s="95">
        <f t="shared" si="3"/>
        <v>0.5</v>
      </c>
      <c r="O25" s="96">
        <f t="shared" si="3"/>
        <v>0.5</v>
      </c>
      <c r="P25" s="94">
        <f t="shared" si="4"/>
        <v>0.4</v>
      </c>
      <c r="Q25" s="95">
        <f t="shared" si="4"/>
        <v>0.4</v>
      </c>
      <c r="R25" s="95">
        <f t="shared" si="4"/>
        <v>0.4</v>
      </c>
      <c r="S25" s="95">
        <f t="shared" si="4"/>
        <v>0.4</v>
      </c>
      <c r="T25" s="95">
        <f t="shared" si="4"/>
        <v>0.4</v>
      </c>
      <c r="U25" s="96">
        <f t="shared" si="4"/>
        <v>0.4</v>
      </c>
      <c r="V25" s="95">
        <f t="shared" si="5"/>
        <v>0.5</v>
      </c>
      <c r="W25" s="95">
        <f t="shared" si="5"/>
        <v>0.5</v>
      </c>
      <c r="X25" s="95">
        <f t="shared" si="5"/>
        <v>0.5</v>
      </c>
      <c r="Y25" s="95">
        <f t="shared" si="5"/>
        <v>0.5</v>
      </c>
      <c r="Z25" s="95">
        <f t="shared" si="5"/>
        <v>0.5</v>
      </c>
      <c r="AA25" s="96">
        <f t="shared" si="5"/>
        <v>0.5</v>
      </c>
    </row>
    <row r="26" spans="1:27" x14ac:dyDescent="0.25">
      <c r="A26" s="51" t="s">
        <v>25</v>
      </c>
      <c r="B26" s="18" t="s">
        <v>2</v>
      </c>
      <c r="C26" s="70">
        <v>2</v>
      </c>
      <c r="D26" s="94">
        <f>+correlaciones!Z17</f>
        <v>0.81058424597018708</v>
      </c>
      <c r="E26" s="95">
        <f>+correlaciones!AA17</f>
        <v>0.91393118527122819</v>
      </c>
      <c r="F26" s="95">
        <f>+correlaciones!AB17</f>
        <v>0.97044553354850815</v>
      </c>
      <c r="G26" s="95">
        <f>+correlaciones!AC17</f>
        <v>1</v>
      </c>
      <c r="H26" s="95">
        <f>+correlaciones!AD17</f>
        <v>0.98511193960306265</v>
      </c>
      <c r="I26" s="96">
        <f>+correlaciones!AE17</f>
        <v>0.95599748183309996</v>
      </c>
      <c r="J26" s="95">
        <f t="shared" si="3"/>
        <v>0.5</v>
      </c>
      <c r="K26" s="95">
        <f t="shared" si="3"/>
        <v>0.5</v>
      </c>
      <c r="L26" s="95">
        <f t="shared" si="3"/>
        <v>0.5</v>
      </c>
      <c r="M26" s="95">
        <f t="shared" si="3"/>
        <v>0.5</v>
      </c>
      <c r="N26" s="95">
        <f t="shared" si="3"/>
        <v>0.5</v>
      </c>
      <c r="O26" s="96">
        <f t="shared" si="3"/>
        <v>0.5</v>
      </c>
      <c r="P26" s="94">
        <f t="shared" si="4"/>
        <v>0.4</v>
      </c>
      <c r="Q26" s="95">
        <f t="shared" si="4"/>
        <v>0.4</v>
      </c>
      <c r="R26" s="95">
        <f t="shared" si="4"/>
        <v>0.4</v>
      </c>
      <c r="S26" s="95">
        <f t="shared" si="4"/>
        <v>0.4</v>
      </c>
      <c r="T26" s="95">
        <f t="shared" si="4"/>
        <v>0.4</v>
      </c>
      <c r="U26" s="96">
        <f t="shared" si="4"/>
        <v>0.4</v>
      </c>
      <c r="V26" s="95">
        <f t="shared" si="5"/>
        <v>0.5</v>
      </c>
      <c r="W26" s="95">
        <f t="shared" si="5"/>
        <v>0.5</v>
      </c>
      <c r="X26" s="95">
        <f t="shared" si="5"/>
        <v>0.5</v>
      </c>
      <c r="Y26" s="95">
        <f t="shared" si="5"/>
        <v>0.5</v>
      </c>
      <c r="Z26" s="95">
        <f t="shared" si="5"/>
        <v>0.5</v>
      </c>
      <c r="AA26" s="96">
        <f t="shared" si="5"/>
        <v>0.5</v>
      </c>
    </row>
    <row r="27" spans="1:27" x14ac:dyDescent="0.25">
      <c r="A27" s="51" t="s">
        <v>25</v>
      </c>
      <c r="B27" s="18" t="s">
        <v>2</v>
      </c>
      <c r="C27" s="70">
        <v>3</v>
      </c>
      <c r="D27" s="94">
        <f>+correlaciones!Z18</f>
        <v>0.71892373343192617</v>
      </c>
      <c r="E27" s="95">
        <f>+correlaciones!AA18</f>
        <v>0.86070797642505781</v>
      </c>
      <c r="F27" s="95">
        <f>+correlaciones!AB18</f>
        <v>0.94176453358424872</v>
      </c>
      <c r="G27" s="95">
        <f>+correlaciones!AC18</f>
        <v>0.98511193960306265</v>
      </c>
      <c r="H27" s="95">
        <f>+correlaciones!AD18</f>
        <v>1</v>
      </c>
      <c r="I27" s="96">
        <f>+correlaciones!AE18</f>
        <v>0.98019867330675525</v>
      </c>
      <c r="J27" s="95">
        <f t="shared" si="3"/>
        <v>0.5</v>
      </c>
      <c r="K27" s="95">
        <f t="shared" si="3"/>
        <v>0.5</v>
      </c>
      <c r="L27" s="95">
        <f t="shared" si="3"/>
        <v>0.5</v>
      </c>
      <c r="M27" s="95">
        <f t="shared" si="3"/>
        <v>0.5</v>
      </c>
      <c r="N27" s="95">
        <f t="shared" si="3"/>
        <v>0.5</v>
      </c>
      <c r="O27" s="96">
        <f t="shared" si="3"/>
        <v>0.5</v>
      </c>
      <c r="P27" s="94">
        <f t="shared" si="4"/>
        <v>0.4</v>
      </c>
      <c r="Q27" s="95">
        <f t="shared" si="4"/>
        <v>0.4</v>
      </c>
      <c r="R27" s="95">
        <f t="shared" si="4"/>
        <v>0.4</v>
      </c>
      <c r="S27" s="95">
        <f t="shared" si="4"/>
        <v>0.4</v>
      </c>
      <c r="T27" s="95">
        <f t="shared" si="4"/>
        <v>0.4</v>
      </c>
      <c r="U27" s="96">
        <f t="shared" si="4"/>
        <v>0.4</v>
      </c>
      <c r="V27" s="95">
        <f t="shared" si="5"/>
        <v>0.5</v>
      </c>
      <c r="W27" s="95">
        <f t="shared" si="5"/>
        <v>0.5</v>
      </c>
      <c r="X27" s="95">
        <f t="shared" si="5"/>
        <v>0.5</v>
      </c>
      <c r="Y27" s="95">
        <f t="shared" si="5"/>
        <v>0.5</v>
      </c>
      <c r="Z27" s="95">
        <f t="shared" si="5"/>
        <v>0.5</v>
      </c>
      <c r="AA27" s="96">
        <f t="shared" si="5"/>
        <v>0.5</v>
      </c>
    </row>
    <row r="28" spans="1:27" x14ac:dyDescent="0.25">
      <c r="A28" s="52" t="s">
        <v>25</v>
      </c>
      <c r="B28" s="19" t="s">
        <v>2</v>
      </c>
      <c r="C28" s="66">
        <v>5</v>
      </c>
      <c r="D28" s="97">
        <f>+correlaciones!Z19</f>
        <v>0.56552543869953709</v>
      </c>
      <c r="E28" s="98">
        <f>+correlaciones!AA19</f>
        <v>0.76337949433685315</v>
      </c>
      <c r="F28" s="98">
        <f>+correlaciones!AB19</f>
        <v>0.88692043671715748</v>
      </c>
      <c r="G28" s="98">
        <f>+correlaciones!AC19</f>
        <v>0.95599748183309996</v>
      </c>
      <c r="H28" s="98">
        <f>+correlaciones!AD19</f>
        <v>0.98019867330675525</v>
      </c>
      <c r="I28" s="99">
        <f>+correlaciones!AE19</f>
        <v>1</v>
      </c>
      <c r="J28" s="98">
        <f t="shared" si="3"/>
        <v>0.5</v>
      </c>
      <c r="K28" s="98">
        <f t="shared" si="3"/>
        <v>0.5</v>
      </c>
      <c r="L28" s="98">
        <f t="shared" si="3"/>
        <v>0.5</v>
      </c>
      <c r="M28" s="98">
        <f t="shared" si="3"/>
        <v>0.5</v>
      </c>
      <c r="N28" s="98">
        <f t="shared" si="3"/>
        <v>0.5</v>
      </c>
      <c r="O28" s="99">
        <f t="shared" si="3"/>
        <v>0.5</v>
      </c>
      <c r="P28" s="97">
        <f t="shared" si="4"/>
        <v>0.4</v>
      </c>
      <c r="Q28" s="98">
        <f t="shared" si="4"/>
        <v>0.4</v>
      </c>
      <c r="R28" s="98">
        <f t="shared" si="4"/>
        <v>0.4</v>
      </c>
      <c r="S28" s="98">
        <f t="shared" si="4"/>
        <v>0.4</v>
      </c>
      <c r="T28" s="98">
        <f t="shared" si="4"/>
        <v>0.4</v>
      </c>
      <c r="U28" s="99">
        <f t="shared" si="4"/>
        <v>0.4</v>
      </c>
      <c r="V28" s="98">
        <f t="shared" si="5"/>
        <v>0.5</v>
      </c>
      <c r="W28" s="98">
        <f t="shared" si="5"/>
        <v>0.5</v>
      </c>
      <c r="X28" s="98">
        <f t="shared" si="5"/>
        <v>0.5</v>
      </c>
      <c r="Y28" s="98">
        <f t="shared" si="5"/>
        <v>0.5</v>
      </c>
      <c r="Z28" s="98">
        <f t="shared" si="5"/>
        <v>0.5</v>
      </c>
      <c r="AA28" s="99">
        <f t="shared" si="5"/>
        <v>0.5</v>
      </c>
    </row>
    <row r="29" spans="1:27" x14ac:dyDescent="0.25">
      <c r="A29" s="51" t="s">
        <v>26</v>
      </c>
      <c r="B29" s="18" t="s">
        <v>3</v>
      </c>
      <c r="C29" s="69">
        <v>0.25</v>
      </c>
      <c r="D29" s="94">
        <f t="shared" ref="D29:I34" si="6">0.5*$B$78</f>
        <v>0.5</v>
      </c>
      <c r="E29" s="95">
        <f t="shared" si="6"/>
        <v>0.5</v>
      </c>
      <c r="F29" s="95">
        <f t="shared" si="6"/>
        <v>0.5</v>
      </c>
      <c r="G29" s="95">
        <f t="shared" si="6"/>
        <v>0.5</v>
      </c>
      <c r="H29" s="95">
        <f t="shared" si="6"/>
        <v>0.5</v>
      </c>
      <c r="I29" s="96">
        <f t="shared" si="6"/>
        <v>0.5</v>
      </c>
      <c r="J29" s="95">
        <f>+D23</f>
        <v>1</v>
      </c>
      <c r="K29" s="95">
        <f t="shared" ref="K29:O29" si="7">+E23</f>
        <v>0.97044553354850815</v>
      </c>
      <c r="L29" s="95">
        <f t="shared" si="7"/>
        <v>0.91393118527122819</v>
      </c>
      <c r="M29" s="95">
        <f t="shared" si="7"/>
        <v>0.81058424597018708</v>
      </c>
      <c r="N29" s="95">
        <f t="shared" si="7"/>
        <v>0.71892373343192617</v>
      </c>
      <c r="O29" s="96">
        <f t="shared" si="7"/>
        <v>0.56552543869953709</v>
      </c>
      <c r="P29" s="94">
        <f t="shared" ref="P29:U34" si="8">0.5*$B$78</f>
        <v>0.5</v>
      </c>
      <c r="Q29" s="95">
        <f t="shared" si="8"/>
        <v>0.5</v>
      </c>
      <c r="R29" s="95">
        <f t="shared" si="8"/>
        <v>0.5</v>
      </c>
      <c r="S29" s="95">
        <f t="shared" si="8"/>
        <v>0.5</v>
      </c>
      <c r="T29" s="95">
        <f t="shared" si="8"/>
        <v>0.5</v>
      </c>
      <c r="U29" s="96">
        <f t="shared" si="8"/>
        <v>0.5</v>
      </c>
      <c r="V29" s="95">
        <f t="shared" ref="V29:AA34" si="9">0.4*$B$78</f>
        <v>0.4</v>
      </c>
      <c r="W29" s="95">
        <f t="shared" si="9"/>
        <v>0.4</v>
      </c>
      <c r="X29" s="95">
        <f t="shared" si="9"/>
        <v>0.4</v>
      </c>
      <c r="Y29" s="95">
        <f t="shared" si="9"/>
        <v>0.4</v>
      </c>
      <c r="Z29" s="95">
        <f t="shared" si="9"/>
        <v>0.4</v>
      </c>
      <c r="AA29" s="96">
        <f t="shared" si="9"/>
        <v>0.4</v>
      </c>
    </row>
    <row r="30" spans="1:27" x14ac:dyDescent="0.25">
      <c r="A30" s="51" t="s">
        <v>26</v>
      </c>
      <c r="B30" s="18" t="s">
        <v>3</v>
      </c>
      <c r="C30" s="70">
        <v>0.5</v>
      </c>
      <c r="D30" s="94">
        <f t="shared" si="6"/>
        <v>0.5</v>
      </c>
      <c r="E30" s="95">
        <f t="shared" si="6"/>
        <v>0.5</v>
      </c>
      <c r="F30" s="95">
        <f t="shared" si="6"/>
        <v>0.5</v>
      </c>
      <c r="G30" s="95">
        <f t="shared" si="6"/>
        <v>0.5</v>
      </c>
      <c r="H30" s="95">
        <f t="shared" si="6"/>
        <v>0.5</v>
      </c>
      <c r="I30" s="96">
        <f t="shared" si="6"/>
        <v>0.5</v>
      </c>
      <c r="J30" s="95">
        <f t="shared" ref="J30:O34" si="10">+D24</f>
        <v>0.97044553354850815</v>
      </c>
      <c r="K30" s="95">
        <f t="shared" si="10"/>
        <v>1</v>
      </c>
      <c r="L30" s="95">
        <f t="shared" si="10"/>
        <v>0.97044553354850815</v>
      </c>
      <c r="M30" s="95">
        <f t="shared" si="10"/>
        <v>0.91393118527122819</v>
      </c>
      <c r="N30" s="95">
        <f t="shared" si="10"/>
        <v>0.86070797642505781</v>
      </c>
      <c r="O30" s="96">
        <f t="shared" si="10"/>
        <v>0.76337949433685315</v>
      </c>
      <c r="P30" s="94">
        <f t="shared" si="8"/>
        <v>0.5</v>
      </c>
      <c r="Q30" s="95">
        <f t="shared" si="8"/>
        <v>0.5</v>
      </c>
      <c r="R30" s="95">
        <f t="shared" si="8"/>
        <v>0.5</v>
      </c>
      <c r="S30" s="95">
        <f t="shared" si="8"/>
        <v>0.5</v>
      </c>
      <c r="T30" s="95">
        <f t="shared" si="8"/>
        <v>0.5</v>
      </c>
      <c r="U30" s="96">
        <f t="shared" si="8"/>
        <v>0.5</v>
      </c>
      <c r="V30" s="95">
        <f t="shared" si="9"/>
        <v>0.4</v>
      </c>
      <c r="W30" s="95">
        <f t="shared" si="9"/>
        <v>0.4</v>
      </c>
      <c r="X30" s="95">
        <f t="shared" si="9"/>
        <v>0.4</v>
      </c>
      <c r="Y30" s="95">
        <f t="shared" si="9"/>
        <v>0.4</v>
      </c>
      <c r="Z30" s="95">
        <f t="shared" si="9"/>
        <v>0.4</v>
      </c>
      <c r="AA30" s="96">
        <f t="shared" si="9"/>
        <v>0.4</v>
      </c>
    </row>
    <row r="31" spans="1:27" x14ac:dyDescent="0.25">
      <c r="A31" s="51" t="s">
        <v>26</v>
      </c>
      <c r="B31" s="18" t="s">
        <v>3</v>
      </c>
      <c r="C31" s="70">
        <v>1</v>
      </c>
      <c r="D31" s="94">
        <f t="shared" si="6"/>
        <v>0.5</v>
      </c>
      <c r="E31" s="95">
        <f t="shared" si="6"/>
        <v>0.5</v>
      </c>
      <c r="F31" s="95">
        <f t="shared" si="6"/>
        <v>0.5</v>
      </c>
      <c r="G31" s="95">
        <f t="shared" si="6"/>
        <v>0.5</v>
      </c>
      <c r="H31" s="95">
        <f t="shared" si="6"/>
        <v>0.5</v>
      </c>
      <c r="I31" s="96">
        <f t="shared" si="6"/>
        <v>0.5</v>
      </c>
      <c r="J31" s="95">
        <f t="shared" si="10"/>
        <v>0.91393118527122819</v>
      </c>
      <c r="K31" s="95">
        <f t="shared" si="10"/>
        <v>0.97044553354850815</v>
      </c>
      <c r="L31" s="95">
        <f t="shared" si="10"/>
        <v>1</v>
      </c>
      <c r="M31" s="95">
        <f t="shared" si="10"/>
        <v>0.97044553354850815</v>
      </c>
      <c r="N31" s="95">
        <f t="shared" si="10"/>
        <v>0.94176453358424872</v>
      </c>
      <c r="O31" s="96">
        <f t="shared" si="10"/>
        <v>0.88692043671715748</v>
      </c>
      <c r="P31" s="94">
        <f t="shared" si="8"/>
        <v>0.5</v>
      </c>
      <c r="Q31" s="95">
        <f t="shared" si="8"/>
        <v>0.5</v>
      </c>
      <c r="R31" s="95">
        <f t="shared" si="8"/>
        <v>0.5</v>
      </c>
      <c r="S31" s="95">
        <f t="shared" si="8"/>
        <v>0.5</v>
      </c>
      <c r="T31" s="95">
        <f t="shared" si="8"/>
        <v>0.5</v>
      </c>
      <c r="U31" s="96">
        <f t="shared" si="8"/>
        <v>0.5</v>
      </c>
      <c r="V31" s="95">
        <f t="shared" si="9"/>
        <v>0.4</v>
      </c>
      <c r="W31" s="95">
        <f t="shared" si="9"/>
        <v>0.4</v>
      </c>
      <c r="X31" s="95">
        <f t="shared" si="9"/>
        <v>0.4</v>
      </c>
      <c r="Y31" s="95">
        <f t="shared" si="9"/>
        <v>0.4</v>
      </c>
      <c r="Z31" s="95">
        <f t="shared" si="9"/>
        <v>0.4</v>
      </c>
      <c r="AA31" s="96">
        <f t="shared" si="9"/>
        <v>0.4</v>
      </c>
    </row>
    <row r="32" spans="1:27" x14ac:dyDescent="0.25">
      <c r="A32" s="51" t="s">
        <v>26</v>
      </c>
      <c r="B32" s="18" t="s">
        <v>3</v>
      </c>
      <c r="C32" s="70">
        <v>2</v>
      </c>
      <c r="D32" s="94">
        <f t="shared" si="6"/>
        <v>0.5</v>
      </c>
      <c r="E32" s="95">
        <f t="shared" si="6"/>
        <v>0.5</v>
      </c>
      <c r="F32" s="95">
        <f t="shared" si="6"/>
        <v>0.5</v>
      </c>
      <c r="G32" s="95">
        <f t="shared" si="6"/>
        <v>0.5</v>
      </c>
      <c r="H32" s="95">
        <f t="shared" si="6"/>
        <v>0.5</v>
      </c>
      <c r="I32" s="96">
        <f t="shared" si="6"/>
        <v>0.5</v>
      </c>
      <c r="J32" s="95">
        <f t="shared" si="10"/>
        <v>0.81058424597018708</v>
      </c>
      <c r="K32" s="95">
        <f t="shared" si="10"/>
        <v>0.91393118527122819</v>
      </c>
      <c r="L32" s="95">
        <f t="shared" si="10"/>
        <v>0.97044553354850815</v>
      </c>
      <c r="M32" s="95">
        <f t="shared" si="10"/>
        <v>1</v>
      </c>
      <c r="N32" s="95">
        <f t="shared" si="10"/>
        <v>0.98511193960306265</v>
      </c>
      <c r="O32" s="96">
        <f t="shared" si="10"/>
        <v>0.95599748183309996</v>
      </c>
      <c r="P32" s="94">
        <f t="shared" si="8"/>
        <v>0.5</v>
      </c>
      <c r="Q32" s="95">
        <f t="shared" si="8"/>
        <v>0.5</v>
      </c>
      <c r="R32" s="95">
        <f t="shared" si="8"/>
        <v>0.5</v>
      </c>
      <c r="S32" s="95">
        <f t="shared" si="8"/>
        <v>0.5</v>
      </c>
      <c r="T32" s="95">
        <f t="shared" si="8"/>
        <v>0.5</v>
      </c>
      <c r="U32" s="96">
        <f t="shared" si="8"/>
        <v>0.5</v>
      </c>
      <c r="V32" s="95">
        <f t="shared" si="9"/>
        <v>0.4</v>
      </c>
      <c r="W32" s="95">
        <f t="shared" si="9"/>
        <v>0.4</v>
      </c>
      <c r="X32" s="95">
        <f t="shared" si="9"/>
        <v>0.4</v>
      </c>
      <c r="Y32" s="95">
        <f t="shared" si="9"/>
        <v>0.4</v>
      </c>
      <c r="Z32" s="95">
        <f t="shared" si="9"/>
        <v>0.4</v>
      </c>
      <c r="AA32" s="96">
        <f t="shared" si="9"/>
        <v>0.4</v>
      </c>
    </row>
    <row r="33" spans="1:27" x14ac:dyDescent="0.25">
      <c r="A33" s="51" t="s">
        <v>26</v>
      </c>
      <c r="B33" s="18" t="s">
        <v>3</v>
      </c>
      <c r="C33" s="70">
        <v>3</v>
      </c>
      <c r="D33" s="94">
        <f t="shared" si="6"/>
        <v>0.5</v>
      </c>
      <c r="E33" s="95">
        <f t="shared" si="6"/>
        <v>0.5</v>
      </c>
      <c r="F33" s="95">
        <f t="shared" si="6"/>
        <v>0.5</v>
      </c>
      <c r="G33" s="95">
        <f t="shared" si="6"/>
        <v>0.5</v>
      </c>
      <c r="H33" s="95">
        <f t="shared" si="6"/>
        <v>0.5</v>
      </c>
      <c r="I33" s="96">
        <f t="shared" si="6"/>
        <v>0.5</v>
      </c>
      <c r="J33" s="95">
        <f t="shared" si="10"/>
        <v>0.71892373343192617</v>
      </c>
      <c r="K33" s="95">
        <f t="shared" si="10"/>
        <v>0.86070797642505781</v>
      </c>
      <c r="L33" s="95">
        <f t="shared" si="10"/>
        <v>0.94176453358424872</v>
      </c>
      <c r="M33" s="95">
        <f t="shared" si="10"/>
        <v>0.98511193960306265</v>
      </c>
      <c r="N33" s="95">
        <f t="shared" si="10"/>
        <v>1</v>
      </c>
      <c r="O33" s="96">
        <f t="shared" si="10"/>
        <v>0.98019867330675525</v>
      </c>
      <c r="P33" s="94">
        <f t="shared" si="8"/>
        <v>0.5</v>
      </c>
      <c r="Q33" s="95">
        <f t="shared" si="8"/>
        <v>0.5</v>
      </c>
      <c r="R33" s="95">
        <f t="shared" si="8"/>
        <v>0.5</v>
      </c>
      <c r="S33" s="95">
        <f t="shared" si="8"/>
        <v>0.5</v>
      </c>
      <c r="T33" s="95">
        <f t="shared" si="8"/>
        <v>0.5</v>
      </c>
      <c r="U33" s="96">
        <f t="shared" si="8"/>
        <v>0.5</v>
      </c>
      <c r="V33" s="95">
        <f t="shared" si="9"/>
        <v>0.4</v>
      </c>
      <c r="W33" s="95">
        <f t="shared" si="9"/>
        <v>0.4</v>
      </c>
      <c r="X33" s="95">
        <f t="shared" si="9"/>
        <v>0.4</v>
      </c>
      <c r="Y33" s="95">
        <f t="shared" si="9"/>
        <v>0.4</v>
      </c>
      <c r="Z33" s="95">
        <f t="shared" si="9"/>
        <v>0.4</v>
      </c>
      <c r="AA33" s="96">
        <f t="shared" si="9"/>
        <v>0.4</v>
      </c>
    </row>
    <row r="34" spans="1:27" x14ac:dyDescent="0.25">
      <c r="A34" s="52" t="s">
        <v>26</v>
      </c>
      <c r="B34" s="19" t="s">
        <v>3</v>
      </c>
      <c r="C34" s="66">
        <v>5</v>
      </c>
      <c r="D34" s="97">
        <f t="shared" si="6"/>
        <v>0.5</v>
      </c>
      <c r="E34" s="98">
        <f t="shared" si="6"/>
        <v>0.5</v>
      </c>
      <c r="F34" s="98">
        <f t="shared" si="6"/>
        <v>0.5</v>
      </c>
      <c r="G34" s="98">
        <f t="shared" si="6"/>
        <v>0.5</v>
      </c>
      <c r="H34" s="98">
        <f t="shared" si="6"/>
        <v>0.5</v>
      </c>
      <c r="I34" s="99">
        <f t="shared" si="6"/>
        <v>0.5</v>
      </c>
      <c r="J34" s="98">
        <f t="shared" si="10"/>
        <v>0.56552543869953709</v>
      </c>
      <c r="K34" s="98">
        <f t="shared" si="10"/>
        <v>0.76337949433685315</v>
      </c>
      <c r="L34" s="98">
        <f t="shared" si="10"/>
        <v>0.88692043671715748</v>
      </c>
      <c r="M34" s="98">
        <f t="shared" si="10"/>
        <v>0.95599748183309996</v>
      </c>
      <c r="N34" s="98">
        <f t="shared" si="10"/>
        <v>0.98019867330675525</v>
      </c>
      <c r="O34" s="99">
        <f t="shared" si="10"/>
        <v>1</v>
      </c>
      <c r="P34" s="97">
        <f t="shared" si="8"/>
        <v>0.5</v>
      </c>
      <c r="Q34" s="98">
        <f t="shared" si="8"/>
        <v>0.5</v>
      </c>
      <c r="R34" s="98">
        <f t="shared" si="8"/>
        <v>0.5</v>
      </c>
      <c r="S34" s="98">
        <f t="shared" si="8"/>
        <v>0.5</v>
      </c>
      <c r="T34" s="98">
        <f t="shared" si="8"/>
        <v>0.5</v>
      </c>
      <c r="U34" s="99">
        <f t="shared" si="8"/>
        <v>0.5</v>
      </c>
      <c r="V34" s="98">
        <f t="shared" si="9"/>
        <v>0.4</v>
      </c>
      <c r="W34" s="98">
        <f t="shared" si="9"/>
        <v>0.4</v>
      </c>
      <c r="X34" s="98">
        <f t="shared" si="9"/>
        <v>0.4</v>
      </c>
      <c r="Y34" s="98">
        <f t="shared" si="9"/>
        <v>0.4</v>
      </c>
      <c r="Z34" s="98">
        <f t="shared" si="9"/>
        <v>0.4</v>
      </c>
      <c r="AA34" s="99">
        <f t="shared" si="9"/>
        <v>0.4</v>
      </c>
    </row>
    <row r="35" spans="1:27" x14ac:dyDescent="0.25">
      <c r="A35" s="50" t="s">
        <v>31</v>
      </c>
      <c r="B35" s="18" t="s">
        <v>8</v>
      </c>
      <c r="C35" s="69">
        <v>0.25</v>
      </c>
      <c r="D35" s="91">
        <f t="shared" ref="D35:I40" si="11">0.4*$B$78</f>
        <v>0.4</v>
      </c>
      <c r="E35" s="92">
        <f t="shared" si="11"/>
        <v>0.4</v>
      </c>
      <c r="F35" s="92">
        <f t="shared" si="11"/>
        <v>0.4</v>
      </c>
      <c r="G35" s="92">
        <f t="shared" si="11"/>
        <v>0.4</v>
      </c>
      <c r="H35" s="92">
        <f t="shared" si="11"/>
        <v>0.4</v>
      </c>
      <c r="I35" s="93">
        <f t="shared" si="11"/>
        <v>0.4</v>
      </c>
      <c r="J35" s="92">
        <f t="shared" ref="J35:O40" si="12">0.5*$B$78</f>
        <v>0.5</v>
      </c>
      <c r="K35" s="92">
        <f t="shared" si="12"/>
        <v>0.5</v>
      </c>
      <c r="L35" s="92">
        <f t="shared" si="12"/>
        <v>0.5</v>
      </c>
      <c r="M35" s="92">
        <f t="shared" si="12"/>
        <v>0.5</v>
      </c>
      <c r="N35" s="92">
        <f t="shared" si="12"/>
        <v>0.5</v>
      </c>
      <c r="O35" s="93">
        <f t="shared" si="12"/>
        <v>0.5</v>
      </c>
      <c r="P35" s="91">
        <v>1</v>
      </c>
      <c r="Q35" s="92">
        <v>1</v>
      </c>
      <c r="R35" s="92">
        <v>1</v>
      </c>
      <c r="S35" s="92">
        <v>1</v>
      </c>
      <c r="T35" s="92">
        <v>1</v>
      </c>
      <c r="U35" s="93">
        <v>1</v>
      </c>
      <c r="V35" s="92">
        <f t="shared" ref="V35:AA40" si="13">0.5*$B$78</f>
        <v>0.5</v>
      </c>
      <c r="W35" s="92">
        <f t="shared" si="13"/>
        <v>0.5</v>
      </c>
      <c r="X35" s="92">
        <f t="shared" si="13"/>
        <v>0.5</v>
      </c>
      <c r="Y35" s="92">
        <f t="shared" si="13"/>
        <v>0.5</v>
      </c>
      <c r="Z35" s="92">
        <f t="shared" si="13"/>
        <v>0.5</v>
      </c>
      <c r="AA35" s="93">
        <f t="shared" si="13"/>
        <v>0.5</v>
      </c>
    </row>
    <row r="36" spans="1:27" x14ac:dyDescent="0.25">
      <c r="A36" s="51" t="s">
        <v>31</v>
      </c>
      <c r="B36" s="18" t="s">
        <v>8</v>
      </c>
      <c r="C36" s="70">
        <v>0.5</v>
      </c>
      <c r="D36" s="94">
        <f t="shared" si="11"/>
        <v>0.4</v>
      </c>
      <c r="E36" s="95">
        <f t="shared" si="11"/>
        <v>0.4</v>
      </c>
      <c r="F36" s="95">
        <f t="shared" si="11"/>
        <v>0.4</v>
      </c>
      <c r="G36" s="95">
        <f t="shared" si="11"/>
        <v>0.4</v>
      </c>
      <c r="H36" s="95">
        <f t="shared" si="11"/>
        <v>0.4</v>
      </c>
      <c r="I36" s="96">
        <f t="shared" si="11"/>
        <v>0.4</v>
      </c>
      <c r="J36" s="95">
        <f t="shared" si="12"/>
        <v>0.5</v>
      </c>
      <c r="K36" s="95">
        <f t="shared" si="12"/>
        <v>0.5</v>
      </c>
      <c r="L36" s="95">
        <f t="shared" si="12"/>
        <v>0.5</v>
      </c>
      <c r="M36" s="95">
        <f t="shared" si="12"/>
        <v>0.5</v>
      </c>
      <c r="N36" s="95">
        <f t="shared" si="12"/>
        <v>0.5</v>
      </c>
      <c r="O36" s="96">
        <f t="shared" si="12"/>
        <v>0.5</v>
      </c>
      <c r="P36" s="94">
        <v>1</v>
      </c>
      <c r="Q36" s="95">
        <v>1</v>
      </c>
      <c r="R36" s="95">
        <v>1</v>
      </c>
      <c r="S36" s="95">
        <v>1</v>
      </c>
      <c r="T36" s="95">
        <v>1</v>
      </c>
      <c r="U36" s="96">
        <v>1</v>
      </c>
      <c r="V36" s="95">
        <f t="shared" si="13"/>
        <v>0.5</v>
      </c>
      <c r="W36" s="95">
        <f t="shared" si="13"/>
        <v>0.5</v>
      </c>
      <c r="X36" s="95">
        <f t="shared" si="13"/>
        <v>0.5</v>
      </c>
      <c r="Y36" s="95">
        <f t="shared" si="13"/>
        <v>0.5</v>
      </c>
      <c r="Z36" s="95">
        <f t="shared" si="13"/>
        <v>0.5</v>
      </c>
      <c r="AA36" s="96">
        <f t="shared" si="13"/>
        <v>0.5</v>
      </c>
    </row>
    <row r="37" spans="1:27" x14ac:dyDescent="0.25">
      <c r="A37" s="51" t="s">
        <v>31</v>
      </c>
      <c r="B37" s="18" t="s">
        <v>8</v>
      </c>
      <c r="C37" s="70">
        <v>1</v>
      </c>
      <c r="D37" s="94">
        <f t="shared" si="11"/>
        <v>0.4</v>
      </c>
      <c r="E37" s="95">
        <f t="shared" si="11"/>
        <v>0.4</v>
      </c>
      <c r="F37" s="95">
        <f t="shared" si="11"/>
        <v>0.4</v>
      </c>
      <c r="G37" s="95">
        <f t="shared" si="11"/>
        <v>0.4</v>
      </c>
      <c r="H37" s="95">
        <f t="shared" si="11"/>
        <v>0.4</v>
      </c>
      <c r="I37" s="96">
        <f t="shared" si="11"/>
        <v>0.4</v>
      </c>
      <c r="J37" s="95">
        <f t="shared" si="12"/>
        <v>0.5</v>
      </c>
      <c r="K37" s="95">
        <f t="shared" si="12"/>
        <v>0.5</v>
      </c>
      <c r="L37" s="95">
        <f t="shared" si="12"/>
        <v>0.5</v>
      </c>
      <c r="M37" s="95">
        <f t="shared" si="12"/>
        <v>0.5</v>
      </c>
      <c r="N37" s="95">
        <f t="shared" si="12"/>
        <v>0.5</v>
      </c>
      <c r="O37" s="96">
        <f t="shared" si="12"/>
        <v>0.5</v>
      </c>
      <c r="P37" s="94">
        <v>1</v>
      </c>
      <c r="Q37" s="95">
        <v>1</v>
      </c>
      <c r="R37" s="95">
        <v>1</v>
      </c>
      <c r="S37" s="95">
        <v>1</v>
      </c>
      <c r="T37" s="95">
        <v>1</v>
      </c>
      <c r="U37" s="96">
        <v>1</v>
      </c>
      <c r="V37" s="95">
        <f t="shared" si="13"/>
        <v>0.5</v>
      </c>
      <c r="W37" s="95">
        <f t="shared" si="13"/>
        <v>0.5</v>
      </c>
      <c r="X37" s="95">
        <f t="shared" si="13"/>
        <v>0.5</v>
      </c>
      <c r="Y37" s="95">
        <f t="shared" si="13"/>
        <v>0.5</v>
      </c>
      <c r="Z37" s="95">
        <f t="shared" si="13"/>
        <v>0.5</v>
      </c>
      <c r="AA37" s="96">
        <f t="shared" si="13"/>
        <v>0.5</v>
      </c>
    </row>
    <row r="38" spans="1:27" x14ac:dyDescent="0.25">
      <c r="A38" s="51" t="s">
        <v>31</v>
      </c>
      <c r="B38" s="18" t="s">
        <v>8</v>
      </c>
      <c r="C38" s="70">
        <v>2</v>
      </c>
      <c r="D38" s="94">
        <f t="shared" si="11"/>
        <v>0.4</v>
      </c>
      <c r="E38" s="95">
        <f t="shared" si="11"/>
        <v>0.4</v>
      </c>
      <c r="F38" s="95">
        <f t="shared" si="11"/>
        <v>0.4</v>
      </c>
      <c r="G38" s="95">
        <f t="shared" si="11"/>
        <v>0.4</v>
      </c>
      <c r="H38" s="95">
        <f t="shared" si="11"/>
        <v>0.4</v>
      </c>
      <c r="I38" s="96">
        <f t="shared" si="11"/>
        <v>0.4</v>
      </c>
      <c r="J38" s="95">
        <f t="shared" si="12"/>
        <v>0.5</v>
      </c>
      <c r="K38" s="95">
        <f t="shared" si="12"/>
        <v>0.5</v>
      </c>
      <c r="L38" s="95">
        <f t="shared" si="12"/>
        <v>0.5</v>
      </c>
      <c r="M38" s="95">
        <f t="shared" si="12"/>
        <v>0.5</v>
      </c>
      <c r="N38" s="95">
        <f t="shared" si="12"/>
        <v>0.5</v>
      </c>
      <c r="O38" s="96">
        <f t="shared" si="12"/>
        <v>0.5</v>
      </c>
      <c r="P38" s="94">
        <v>1</v>
      </c>
      <c r="Q38" s="95">
        <v>1</v>
      </c>
      <c r="R38" s="95">
        <v>1</v>
      </c>
      <c r="S38" s="95">
        <v>1</v>
      </c>
      <c r="T38" s="95">
        <v>1</v>
      </c>
      <c r="U38" s="96">
        <v>1</v>
      </c>
      <c r="V38" s="95">
        <f t="shared" si="13"/>
        <v>0.5</v>
      </c>
      <c r="W38" s="95">
        <f t="shared" si="13"/>
        <v>0.5</v>
      </c>
      <c r="X38" s="95">
        <f t="shared" si="13"/>
        <v>0.5</v>
      </c>
      <c r="Y38" s="95">
        <f t="shared" si="13"/>
        <v>0.5</v>
      </c>
      <c r="Z38" s="95">
        <f t="shared" si="13"/>
        <v>0.5</v>
      </c>
      <c r="AA38" s="96">
        <f t="shared" si="13"/>
        <v>0.5</v>
      </c>
    </row>
    <row r="39" spans="1:27" x14ac:dyDescent="0.25">
      <c r="A39" s="51" t="s">
        <v>31</v>
      </c>
      <c r="B39" s="18" t="s">
        <v>8</v>
      </c>
      <c r="C39" s="70">
        <v>3</v>
      </c>
      <c r="D39" s="94">
        <f t="shared" si="11"/>
        <v>0.4</v>
      </c>
      <c r="E39" s="95">
        <f t="shared" si="11"/>
        <v>0.4</v>
      </c>
      <c r="F39" s="95">
        <f t="shared" si="11"/>
        <v>0.4</v>
      </c>
      <c r="G39" s="95">
        <f t="shared" si="11"/>
        <v>0.4</v>
      </c>
      <c r="H39" s="95">
        <f t="shared" si="11"/>
        <v>0.4</v>
      </c>
      <c r="I39" s="96">
        <f t="shared" si="11"/>
        <v>0.4</v>
      </c>
      <c r="J39" s="95">
        <f t="shared" si="12"/>
        <v>0.5</v>
      </c>
      <c r="K39" s="95">
        <f t="shared" si="12"/>
        <v>0.5</v>
      </c>
      <c r="L39" s="95">
        <f t="shared" si="12"/>
        <v>0.5</v>
      </c>
      <c r="M39" s="95">
        <f t="shared" si="12"/>
        <v>0.5</v>
      </c>
      <c r="N39" s="95">
        <f t="shared" si="12"/>
        <v>0.5</v>
      </c>
      <c r="O39" s="96">
        <f t="shared" si="12"/>
        <v>0.5</v>
      </c>
      <c r="P39" s="94">
        <v>1</v>
      </c>
      <c r="Q39" s="95">
        <v>1</v>
      </c>
      <c r="R39" s="95">
        <v>1</v>
      </c>
      <c r="S39" s="95">
        <v>1</v>
      </c>
      <c r="T39" s="95">
        <v>1</v>
      </c>
      <c r="U39" s="96">
        <v>1</v>
      </c>
      <c r="V39" s="95">
        <f t="shared" si="13"/>
        <v>0.5</v>
      </c>
      <c r="W39" s="95">
        <f t="shared" si="13"/>
        <v>0.5</v>
      </c>
      <c r="X39" s="95">
        <f t="shared" si="13"/>
        <v>0.5</v>
      </c>
      <c r="Y39" s="95">
        <f t="shared" si="13"/>
        <v>0.5</v>
      </c>
      <c r="Z39" s="95">
        <f t="shared" si="13"/>
        <v>0.5</v>
      </c>
      <c r="AA39" s="96">
        <f t="shared" si="13"/>
        <v>0.5</v>
      </c>
    </row>
    <row r="40" spans="1:27" x14ac:dyDescent="0.25">
      <c r="A40" s="52" t="s">
        <v>31</v>
      </c>
      <c r="B40" s="19" t="s">
        <v>8</v>
      </c>
      <c r="C40" s="66">
        <v>5</v>
      </c>
      <c r="D40" s="97">
        <f t="shared" si="11"/>
        <v>0.4</v>
      </c>
      <c r="E40" s="98">
        <f t="shared" si="11"/>
        <v>0.4</v>
      </c>
      <c r="F40" s="98">
        <f t="shared" si="11"/>
        <v>0.4</v>
      </c>
      <c r="G40" s="98">
        <f t="shared" si="11"/>
        <v>0.4</v>
      </c>
      <c r="H40" s="98">
        <f t="shared" si="11"/>
        <v>0.4</v>
      </c>
      <c r="I40" s="99">
        <f t="shared" si="11"/>
        <v>0.4</v>
      </c>
      <c r="J40" s="98">
        <f t="shared" si="12"/>
        <v>0.5</v>
      </c>
      <c r="K40" s="98">
        <f t="shared" si="12"/>
        <v>0.5</v>
      </c>
      <c r="L40" s="98">
        <f t="shared" si="12"/>
        <v>0.5</v>
      </c>
      <c r="M40" s="98">
        <f t="shared" si="12"/>
        <v>0.5</v>
      </c>
      <c r="N40" s="98">
        <f t="shared" si="12"/>
        <v>0.5</v>
      </c>
      <c r="O40" s="99">
        <f t="shared" si="12"/>
        <v>0.5</v>
      </c>
      <c r="P40" s="97">
        <v>1</v>
      </c>
      <c r="Q40" s="98">
        <v>1</v>
      </c>
      <c r="R40" s="98">
        <v>1</v>
      </c>
      <c r="S40" s="98">
        <v>1</v>
      </c>
      <c r="T40" s="98">
        <v>1</v>
      </c>
      <c r="U40" s="99">
        <v>1</v>
      </c>
      <c r="V40" s="98">
        <f t="shared" si="13"/>
        <v>0.5</v>
      </c>
      <c r="W40" s="98">
        <f t="shared" si="13"/>
        <v>0.5</v>
      </c>
      <c r="X40" s="98">
        <f t="shared" si="13"/>
        <v>0.5</v>
      </c>
      <c r="Y40" s="98">
        <f t="shared" si="13"/>
        <v>0.5</v>
      </c>
      <c r="Z40" s="98">
        <f t="shared" si="13"/>
        <v>0.5</v>
      </c>
      <c r="AA40" s="99">
        <f t="shared" si="13"/>
        <v>0.5</v>
      </c>
    </row>
    <row r="41" spans="1:27" x14ac:dyDescent="0.25">
      <c r="A41" s="51" t="s">
        <v>33</v>
      </c>
      <c r="B41" s="18" t="s">
        <v>8</v>
      </c>
      <c r="C41" s="69">
        <v>0.25</v>
      </c>
      <c r="D41" s="94">
        <f t="shared" ref="D41:I46" si="14">0.5*$B$78</f>
        <v>0.5</v>
      </c>
      <c r="E41" s="95">
        <f t="shared" si="14"/>
        <v>0.5</v>
      </c>
      <c r="F41" s="95">
        <f t="shared" si="14"/>
        <v>0.5</v>
      </c>
      <c r="G41" s="95">
        <f t="shared" si="14"/>
        <v>0.5</v>
      </c>
      <c r="H41" s="95">
        <f t="shared" si="14"/>
        <v>0.5</v>
      </c>
      <c r="I41" s="96">
        <f t="shared" si="14"/>
        <v>0.5</v>
      </c>
      <c r="J41" s="95">
        <f t="shared" ref="J41:O46" si="15">0.4*$B$78</f>
        <v>0.4</v>
      </c>
      <c r="K41" s="95">
        <f t="shared" si="15"/>
        <v>0.4</v>
      </c>
      <c r="L41" s="95">
        <f t="shared" si="15"/>
        <v>0.4</v>
      </c>
      <c r="M41" s="95">
        <f t="shared" si="15"/>
        <v>0.4</v>
      </c>
      <c r="N41" s="95">
        <f t="shared" si="15"/>
        <v>0.4</v>
      </c>
      <c r="O41" s="96">
        <f t="shared" si="15"/>
        <v>0.4</v>
      </c>
      <c r="P41" s="94">
        <f t="shared" ref="P41:U46" si="16">0.5*$B$78</f>
        <v>0.5</v>
      </c>
      <c r="Q41" s="95">
        <f t="shared" si="16"/>
        <v>0.5</v>
      </c>
      <c r="R41" s="95">
        <f t="shared" si="16"/>
        <v>0.5</v>
      </c>
      <c r="S41" s="95">
        <f t="shared" si="16"/>
        <v>0.5</v>
      </c>
      <c r="T41" s="95">
        <f t="shared" si="16"/>
        <v>0.5</v>
      </c>
      <c r="U41" s="96">
        <f t="shared" si="16"/>
        <v>0.5</v>
      </c>
      <c r="V41" s="95">
        <v>1</v>
      </c>
      <c r="W41" s="95">
        <v>1</v>
      </c>
      <c r="X41" s="95">
        <v>1</v>
      </c>
      <c r="Y41" s="95">
        <v>1</v>
      </c>
      <c r="Z41" s="95">
        <v>1</v>
      </c>
      <c r="AA41" s="96">
        <v>1</v>
      </c>
    </row>
    <row r="42" spans="1:27" x14ac:dyDescent="0.25">
      <c r="A42" s="51" t="s">
        <v>33</v>
      </c>
      <c r="B42" s="18" t="s">
        <v>8</v>
      </c>
      <c r="C42" s="70">
        <v>0.5</v>
      </c>
      <c r="D42" s="94">
        <f t="shared" si="14"/>
        <v>0.5</v>
      </c>
      <c r="E42" s="95">
        <f t="shared" si="14"/>
        <v>0.5</v>
      </c>
      <c r="F42" s="95">
        <f t="shared" si="14"/>
        <v>0.5</v>
      </c>
      <c r="G42" s="95">
        <f t="shared" si="14"/>
        <v>0.5</v>
      </c>
      <c r="H42" s="95">
        <f t="shared" si="14"/>
        <v>0.5</v>
      </c>
      <c r="I42" s="96">
        <f t="shared" si="14"/>
        <v>0.5</v>
      </c>
      <c r="J42" s="95">
        <f t="shared" si="15"/>
        <v>0.4</v>
      </c>
      <c r="K42" s="95">
        <f t="shared" si="15"/>
        <v>0.4</v>
      </c>
      <c r="L42" s="95">
        <f t="shared" si="15"/>
        <v>0.4</v>
      </c>
      <c r="M42" s="95">
        <f t="shared" si="15"/>
        <v>0.4</v>
      </c>
      <c r="N42" s="95">
        <f t="shared" si="15"/>
        <v>0.4</v>
      </c>
      <c r="O42" s="96">
        <f t="shared" si="15"/>
        <v>0.4</v>
      </c>
      <c r="P42" s="94">
        <f t="shared" si="16"/>
        <v>0.5</v>
      </c>
      <c r="Q42" s="95">
        <f t="shared" si="16"/>
        <v>0.5</v>
      </c>
      <c r="R42" s="95">
        <f t="shared" si="16"/>
        <v>0.5</v>
      </c>
      <c r="S42" s="95">
        <f t="shared" si="16"/>
        <v>0.5</v>
      </c>
      <c r="T42" s="95">
        <f t="shared" si="16"/>
        <v>0.5</v>
      </c>
      <c r="U42" s="96">
        <f t="shared" si="16"/>
        <v>0.5</v>
      </c>
      <c r="V42" s="95">
        <v>1</v>
      </c>
      <c r="W42" s="95">
        <v>1</v>
      </c>
      <c r="X42" s="95">
        <v>1</v>
      </c>
      <c r="Y42" s="95">
        <v>1</v>
      </c>
      <c r="Z42" s="95">
        <v>1</v>
      </c>
      <c r="AA42" s="96">
        <v>1</v>
      </c>
    </row>
    <row r="43" spans="1:27" x14ac:dyDescent="0.25">
      <c r="A43" s="51" t="s">
        <v>33</v>
      </c>
      <c r="B43" s="18" t="s">
        <v>8</v>
      </c>
      <c r="C43" s="70">
        <v>1</v>
      </c>
      <c r="D43" s="94">
        <f t="shared" si="14"/>
        <v>0.5</v>
      </c>
      <c r="E43" s="95">
        <f t="shared" si="14"/>
        <v>0.5</v>
      </c>
      <c r="F43" s="95">
        <f t="shared" si="14"/>
        <v>0.5</v>
      </c>
      <c r="G43" s="95">
        <f t="shared" si="14"/>
        <v>0.5</v>
      </c>
      <c r="H43" s="95">
        <f t="shared" si="14"/>
        <v>0.5</v>
      </c>
      <c r="I43" s="96">
        <f t="shared" si="14"/>
        <v>0.5</v>
      </c>
      <c r="J43" s="95">
        <f t="shared" si="15"/>
        <v>0.4</v>
      </c>
      <c r="K43" s="95">
        <f t="shared" si="15"/>
        <v>0.4</v>
      </c>
      <c r="L43" s="95">
        <f t="shared" si="15"/>
        <v>0.4</v>
      </c>
      <c r="M43" s="95">
        <f t="shared" si="15"/>
        <v>0.4</v>
      </c>
      <c r="N43" s="95">
        <f t="shared" si="15"/>
        <v>0.4</v>
      </c>
      <c r="O43" s="96">
        <f t="shared" si="15"/>
        <v>0.4</v>
      </c>
      <c r="P43" s="94">
        <f t="shared" si="16"/>
        <v>0.5</v>
      </c>
      <c r="Q43" s="95">
        <f t="shared" si="16"/>
        <v>0.5</v>
      </c>
      <c r="R43" s="95">
        <f t="shared" si="16"/>
        <v>0.5</v>
      </c>
      <c r="S43" s="95">
        <f t="shared" si="16"/>
        <v>0.5</v>
      </c>
      <c r="T43" s="95">
        <f t="shared" si="16"/>
        <v>0.5</v>
      </c>
      <c r="U43" s="96">
        <f t="shared" si="16"/>
        <v>0.5</v>
      </c>
      <c r="V43" s="95">
        <v>1</v>
      </c>
      <c r="W43" s="95">
        <v>1</v>
      </c>
      <c r="X43" s="95">
        <v>1</v>
      </c>
      <c r="Y43" s="95">
        <v>1</v>
      </c>
      <c r="Z43" s="95">
        <v>1</v>
      </c>
      <c r="AA43" s="96">
        <v>1</v>
      </c>
    </row>
    <row r="44" spans="1:27" x14ac:dyDescent="0.25">
      <c r="A44" s="51" t="s">
        <v>33</v>
      </c>
      <c r="B44" s="18" t="s">
        <v>8</v>
      </c>
      <c r="C44" s="70">
        <v>2</v>
      </c>
      <c r="D44" s="94">
        <f t="shared" si="14"/>
        <v>0.5</v>
      </c>
      <c r="E44" s="95">
        <f t="shared" si="14"/>
        <v>0.5</v>
      </c>
      <c r="F44" s="95">
        <f t="shared" si="14"/>
        <v>0.5</v>
      </c>
      <c r="G44" s="95">
        <f t="shared" si="14"/>
        <v>0.5</v>
      </c>
      <c r="H44" s="95">
        <f t="shared" si="14"/>
        <v>0.5</v>
      </c>
      <c r="I44" s="96">
        <f t="shared" si="14"/>
        <v>0.5</v>
      </c>
      <c r="J44" s="95">
        <f t="shared" si="15"/>
        <v>0.4</v>
      </c>
      <c r="K44" s="95">
        <f t="shared" si="15"/>
        <v>0.4</v>
      </c>
      <c r="L44" s="95">
        <f t="shared" si="15"/>
        <v>0.4</v>
      </c>
      <c r="M44" s="95">
        <f t="shared" si="15"/>
        <v>0.4</v>
      </c>
      <c r="N44" s="95">
        <f t="shared" si="15"/>
        <v>0.4</v>
      </c>
      <c r="O44" s="96">
        <f t="shared" si="15"/>
        <v>0.4</v>
      </c>
      <c r="P44" s="94">
        <f t="shared" si="16"/>
        <v>0.5</v>
      </c>
      <c r="Q44" s="95">
        <f t="shared" si="16"/>
        <v>0.5</v>
      </c>
      <c r="R44" s="95">
        <f t="shared" si="16"/>
        <v>0.5</v>
      </c>
      <c r="S44" s="95">
        <f t="shared" si="16"/>
        <v>0.5</v>
      </c>
      <c r="T44" s="95">
        <f t="shared" si="16"/>
        <v>0.5</v>
      </c>
      <c r="U44" s="96">
        <f t="shared" si="16"/>
        <v>0.5</v>
      </c>
      <c r="V44" s="95">
        <v>1</v>
      </c>
      <c r="W44" s="95">
        <v>1</v>
      </c>
      <c r="X44" s="95">
        <v>1</v>
      </c>
      <c r="Y44" s="95">
        <v>1</v>
      </c>
      <c r="Z44" s="95">
        <v>1</v>
      </c>
      <c r="AA44" s="96">
        <v>1</v>
      </c>
    </row>
    <row r="45" spans="1:27" x14ac:dyDescent="0.25">
      <c r="A45" s="51" t="s">
        <v>33</v>
      </c>
      <c r="B45" s="18" t="s">
        <v>8</v>
      </c>
      <c r="C45" s="70">
        <v>3</v>
      </c>
      <c r="D45" s="94">
        <f t="shared" si="14"/>
        <v>0.5</v>
      </c>
      <c r="E45" s="95">
        <f t="shared" si="14"/>
        <v>0.5</v>
      </c>
      <c r="F45" s="95">
        <f t="shared" si="14"/>
        <v>0.5</v>
      </c>
      <c r="G45" s="95">
        <f t="shared" si="14"/>
        <v>0.5</v>
      </c>
      <c r="H45" s="95">
        <f t="shared" si="14"/>
        <v>0.5</v>
      </c>
      <c r="I45" s="96">
        <f t="shared" si="14"/>
        <v>0.5</v>
      </c>
      <c r="J45" s="95">
        <f t="shared" si="15"/>
        <v>0.4</v>
      </c>
      <c r="K45" s="95">
        <f t="shared" si="15"/>
        <v>0.4</v>
      </c>
      <c r="L45" s="95">
        <f t="shared" si="15"/>
        <v>0.4</v>
      </c>
      <c r="M45" s="95">
        <f t="shared" si="15"/>
        <v>0.4</v>
      </c>
      <c r="N45" s="95">
        <f t="shared" si="15"/>
        <v>0.4</v>
      </c>
      <c r="O45" s="96">
        <f t="shared" si="15"/>
        <v>0.4</v>
      </c>
      <c r="P45" s="94">
        <f t="shared" si="16"/>
        <v>0.5</v>
      </c>
      <c r="Q45" s="95">
        <f t="shared" si="16"/>
        <v>0.5</v>
      </c>
      <c r="R45" s="95">
        <f t="shared" si="16"/>
        <v>0.5</v>
      </c>
      <c r="S45" s="95">
        <f t="shared" si="16"/>
        <v>0.5</v>
      </c>
      <c r="T45" s="95">
        <f t="shared" si="16"/>
        <v>0.5</v>
      </c>
      <c r="U45" s="96">
        <f t="shared" si="16"/>
        <v>0.5</v>
      </c>
      <c r="V45" s="95">
        <v>1</v>
      </c>
      <c r="W45" s="95">
        <v>1</v>
      </c>
      <c r="X45" s="95">
        <v>1</v>
      </c>
      <c r="Y45" s="95">
        <v>1</v>
      </c>
      <c r="Z45" s="95">
        <v>1</v>
      </c>
      <c r="AA45" s="96">
        <v>1</v>
      </c>
    </row>
    <row r="46" spans="1:27" x14ac:dyDescent="0.25">
      <c r="A46" s="52" t="s">
        <v>33</v>
      </c>
      <c r="B46" s="19" t="s">
        <v>8</v>
      </c>
      <c r="C46" s="66">
        <v>5</v>
      </c>
      <c r="D46" s="97">
        <f t="shared" si="14"/>
        <v>0.5</v>
      </c>
      <c r="E46" s="98">
        <f t="shared" si="14"/>
        <v>0.5</v>
      </c>
      <c r="F46" s="98">
        <f t="shared" si="14"/>
        <v>0.5</v>
      </c>
      <c r="G46" s="98">
        <f t="shared" si="14"/>
        <v>0.5</v>
      </c>
      <c r="H46" s="98">
        <f t="shared" si="14"/>
        <v>0.5</v>
      </c>
      <c r="I46" s="99">
        <f t="shared" si="14"/>
        <v>0.5</v>
      </c>
      <c r="J46" s="98">
        <f t="shared" si="15"/>
        <v>0.4</v>
      </c>
      <c r="K46" s="98">
        <f t="shared" si="15"/>
        <v>0.4</v>
      </c>
      <c r="L46" s="98">
        <f t="shared" si="15"/>
        <v>0.4</v>
      </c>
      <c r="M46" s="98">
        <f t="shared" si="15"/>
        <v>0.4</v>
      </c>
      <c r="N46" s="98">
        <f t="shared" si="15"/>
        <v>0.4</v>
      </c>
      <c r="O46" s="99">
        <f t="shared" si="15"/>
        <v>0.4</v>
      </c>
      <c r="P46" s="97">
        <f t="shared" si="16"/>
        <v>0.5</v>
      </c>
      <c r="Q46" s="98">
        <f t="shared" si="16"/>
        <v>0.5</v>
      </c>
      <c r="R46" s="98">
        <f t="shared" si="16"/>
        <v>0.5</v>
      </c>
      <c r="S46" s="98">
        <f t="shared" si="16"/>
        <v>0.5</v>
      </c>
      <c r="T46" s="98">
        <f t="shared" si="16"/>
        <v>0.5</v>
      </c>
      <c r="U46" s="99">
        <f t="shared" si="16"/>
        <v>0.5</v>
      </c>
      <c r="V46" s="98">
        <v>1</v>
      </c>
      <c r="W46" s="98">
        <v>1</v>
      </c>
      <c r="X46" s="98">
        <v>1</v>
      </c>
      <c r="Y46" s="98">
        <v>1</v>
      </c>
      <c r="Z46" s="98">
        <v>1</v>
      </c>
      <c r="AA46" s="99">
        <v>1</v>
      </c>
    </row>
    <row r="48" spans="1:27" s="15" customFormat="1" x14ac:dyDescent="0.25">
      <c r="A48" s="7" t="s">
        <v>38</v>
      </c>
      <c r="B48"/>
      <c r="C48"/>
      <c r="D48" s="58">
        <f t="shared" ref="D48:I48" si="17">+D15</f>
        <v>1202081.5280171307</v>
      </c>
      <c r="E48" s="59">
        <f t="shared" si="17"/>
        <v>1202081.5280171307</v>
      </c>
      <c r="F48" s="59">
        <f t="shared" si="17"/>
        <v>1131370.8498984759</v>
      </c>
      <c r="G48" s="59">
        <f t="shared" si="17"/>
        <v>919238.81554251164</v>
      </c>
      <c r="H48" s="59">
        <f t="shared" si="17"/>
        <v>848528.13742385688</v>
      </c>
      <c r="I48" s="60">
        <f t="shared" si="17"/>
        <v>0</v>
      </c>
      <c r="J48" s="59">
        <f t="shared" ref="J48:O48" si="18">+D16</f>
        <v>1202081.5280171307</v>
      </c>
      <c r="K48" s="59">
        <f t="shared" si="18"/>
        <v>1202081.5280171307</v>
      </c>
      <c r="L48" s="59">
        <f t="shared" si="18"/>
        <v>1131370.8498984759</v>
      </c>
      <c r="M48" s="59">
        <f t="shared" si="18"/>
        <v>919238.81554251164</v>
      </c>
      <c r="N48" s="59">
        <f t="shared" si="18"/>
        <v>848528.13742385688</v>
      </c>
      <c r="O48" s="60">
        <f t="shared" si="18"/>
        <v>0</v>
      </c>
      <c r="P48" s="58">
        <f t="shared" ref="P48:U48" si="19">+D17</f>
        <v>1131370.8498984759</v>
      </c>
      <c r="Q48" s="59">
        <f t="shared" si="19"/>
        <v>0</v>
      </c>
      <c r="R48" s="59">
        <f t="shared" si="19"/>
        <v>0</v>
      </c>
      <c r="S48" s="59">
        <f t="shared" si="19"/>
        <v>0</v>
      </c>
      <c r="T48" s="59">
        <f t="shared" si="19"/>
        <v>0</v>
      </c>
      <c r="U48" s="60">
        <f t="shared" si="19"/>
        <v>0</v>
      </c>
      <c r="V48" s="59">
        <f t="shared" ref="V48:AA48" si="20">+D18</f>
        <v>1131370.8498984759</v>
      </c>
      <c r="W48" s="59">
        <f t="shared" si="20"/>
        <v>0</v>
      </c>
      <c r="X48" s="59">
        <f t="shared" si="20"/>
        <v>0</v>
      </c>
      <c r="Y48" s="59">
        <f t="shared" si="20"/>
        <v>0</v>
      </c>
      <c r="Z48" s="59">
        <f t="shared" si="20"/>
        <v>0</v>
      </c>
      <c r="AA48" s="60">
        <f t="shared" si="20"/>
        <v>0</v>
      </c>
    </row>
    <row r="49" spans="1:27" x14ac:dyDescent="0.25">
      <c r="C49" s="20" t="s">
        <v>0</v>
      </c>
      <c r="D49" s="21" t="str">
        <f t="array" ref="D49:I49">+TRANSPOSE(B51:B56)</f>
        <v>1M</v>
      </c>
      <c r="E49" s="21" t="str">
        <v>1M</v>
      </c>
      <c r="F49" s="21" t="str">
        <v>1M</v>
      </c>
      <c r="G49" s="21" t="str">
        <v>1M</v>
      </c>
      <c r="H49" s="21" t="str">
        <v>1M</v>
      </c>
      <c r="I49" s="22" t="str">
        <v>1M</v>
      </c>
      <c r="J49" s="21" t="s">
        <v>3</v>
      </c>
      <c r="K49" s="21" t="s">
        <v>3</v>
      </c>
      <c r="L49" s="21" t="s">
        <v>3</v>
      </c>
      <c r="M49" s="21" t="s">
        <v>3</v>
      </c>
      <c r="N49" s="21" t="s">
        <v>3</v>
      </c>
      <c r="O49" s="22" t="s">
        <v>3</v>
      </c>
      <c r="P49" s="21" t="s">
        <v>31</v>
      </c>
      <c r="Q49" s="21" t="s">
        <v>31</v>
      </c>
      <c r="R49" s="21" t="s">
        <v>31</v>
      </c>
      <c r="S49" s="21" t="s">
        <v>31</v>
      </c>
      <c r="T49" s="21" t="s">
        <v>31</v>
      </c>
      <c r="U49" s="22" t="s">
        <v>31</v>
      </c>
      <c r="V49" s="21" t="s">
        <v>33</v>
      </c>
      <c r="W49" s="21" t="s">
        <v>33</v>
      </c>
      <c r="X49" s="21" t="s">
        <v>33</v>
      </c>
      <c r="Y49" s="21" t="s">
        <v>33</v>
      </c>
      <c r="Z49" s="21" t="s">
        <v>33</v>
      </c>
      <c r="AA49" s="22" t="s">
        <v>33</v>
      </c>
    </row>
    <row r="50" spans="1:27" x14ac:dyDescent="0.25">
      <c r="B50" s="17" t="s">
        <v>0</v>
      </c>
      <c r="C50" s="66" t="s">
        <v>1</v>
      </c>
      <c r="D50" s="67">
        <f t="array" ref="D50:I50">+TRANSPOSE(C51:C56)</f>
        <v>0.25</v>
      </c>
      <c r="E50" s="67">
        <v>0.5</v>
      </c>
      <c r="F50" s="67">
        <v>1</v>
      </c>
      <c r="G50" s="67">
        <v>2</v>
      </c>
      <c r="H50" s="67">
        <v>3</v>
      </c>
      <c r="I50" s="68">
        <v>5</v>
      </c>
      <c r="J50" s="67">
        <v>0.25</v>
      </c>
      <c r="K50" s="67">
        <v>0.5</v>
      </c>
      <c r="L50" s="67">
        <v>1</v>
      </c>
      <c r="M50" s="67">
        <v>2</v>
      </c>
      <c r="N50" s="67">
        <v>3</v>
      </c>
      <c r="O50" s="68">
        <v>5</v>
      </c>
      <c r="P50" s="67">
        <v>0.25</v>
      </c>
      <c r="Q50" s="67">
        <v>0.5</v>
      </c>
      <c r="R50" s="67">
        <v>1</v>
      </c>
      <c r="S50" s="67">
        <v>2</v>
      </c>
      <c r="T50" s="67">
        <v>3</v>
      </c>
      <c r="U50" s="68">
        <v>5</v>
      </c>
      <c r="V50" s="67">
        <v>0.25</v>
      </c>
      <c r="W50" s="67">
        <v>0.5</v>
      </c>
      <c r="X50" s="67">
        <v>1</v>
      </c>
      <c r="Y50" s="67">
        <v>2</v>
      </c>
      <c r="Z50" s="67">
        <v>3</v>
      </c>
      <c r="AA50" s="68">
        <v>5</v>
      </c>
    </row>
    <row r="51" spans="1:27" x14ac:dyDescent="0.25">
      <c r="A51" s="61">
        <f t="array" ref="A51:A74">+TRANSPOSE(D48:AA48)</f>
        <v>1202081.5280171307</v>
      </c>
      <c r="B51" s="18" t="s">
        <v>2</v>
      </c>
      <c r="C51" s="69">
        <v>0.25</v>
      </c>
      <c r="D51" s="100">
        <f>+$A51*D$48</f>
        <v>1444999999999.9998</v>
      </c>
      <c r="E51" s="101">
        <f t="shared" ref="E51:T66" si="21">+$A51*E$48</f>
        <v>1444999999999.9998</v>
      </c>
      <c r="F51" s="101">
        <f t="shared" si="21"/>
        <v>1359999999999.9998</v>
      </c>
      <c r="G51" s="101">
        <f t="shared" si="21"/>
        <v>1104999999999.9998</v>
      </c>
      <c r="H51" s="101">
        <f t="shared" si="21"/>
        <v>1019999999999.9998</v>
      </c>
      <c r="I51" s="102">
        <f t="shared" si="21"/>
        <v>0</v>
      </c>
      <c r="J51" s="101">
        <f t="shared" si="21"/>
        <v>1444999999999.9998</v>
      </c>
      <c r="K51" s="101">
        <f t="shared" si="21"/>
        <v>1444999999999.9998</v>
      </c>
      <c r="L51" s="101">
        <f t="shared" si="21"/>
        <v>1359999999999.9998</v>
      </c>
      <c r="M51" s="101">
        <f t="shared" si="21"/>
        <v>1104999999999.9998</v>
      </c>
      <c r="N51" s="101">
        <f t="shared" si="21"/>
        <v>1019999999999.9998</v>
      </c>
      <c r="O51" s="102">
        <f t="shared" si="21"/>
        <v>0</v>
      </c>
      <c r="P51" s="100">
        <f t="shared" si="21"/>
        <v>1359999999999.9998</v>
      </c>
      <c r="Q51" s="101">
        <f t="shared" si="21"/>
        <v>0</v>
      </c>
      <c r="R51" s="101">
        <f t="shared" si="21"/>
        <v>0</v>
      </c>
      <c r="S51" s="101">
        <f t="shared" si="21"/>
        <v>0</v>
      </c>
      <c r="T51" s="101">
        <f t="shared" si="21"/>
        <v>0</v>
      </c>
      <c r="U51" s="102">
        <f t="shared" ref="U51:AA66" si="22">+$A51*U$48</f>
        <v>0</v>
      </c>
      <c r="V51" s="101">
        <f t="shared" si="22"/>
        <v>1359999999999.9998</v>
      </c>
      <c r="W51" s="101">
        <f t="shared" si="22"/>
        <v>0</v>
      </c>
      <c r="X51" s="101">
        <f t="shared" si="22"/>
        <v>0</v>
      </c>
      <c r="Y51" s="101">
        <f t="shared" si="22"/>
        <v>0</v>
      </c>
      <c r="Z51" s="101">
        <f t="shared" si="22"/>
        <v>0</v>
      </c>
      <c r="AA51" s="102">
        <f t="shared" si="22"/>
        <v>0</v>
      </c>
    </row>
    <row r="52" spans="1:27" x14ac:dyDescent="0.25">
      <c r="A52" s="62">
        <v>1202081.5280171307</v>
      </c>
      <c r="B52" s="18" t="s">
        <v>2</v>
      </c>
      <c r="C52" s="70">
        <v>0.5</v>
      </c>
      <c r="D52" s="103">
        <f t="shared" ref="D52:S67" si="23">+$A52*D$48</f>
        <v>1444999999999.9998</v>
      </c>
      <c r="E52" s="104">
        <f t="shared" si="21"/>
        <v>1444999999999.9998</v>
      </c>
      <c r="F52" s="104">
        <f t="shared" si="21"/>
        <v>1359999999999.9998</v>
      </c>
      <c r="G52" s="104">
        <f t="shared" si="21"/>
        <v>1104999999999.9998</v>
      </c>
      <c r="H52" s="104">
        <f t="shared" si="21"/>
        <v>1019999999999.9998</v>
      </c>
      <c r="I52" s="105">
        <f t="shared" si="21"/>
        <v>0</v>
      </c>
      <c r="J52" s="104">
        <f t="shared" si="21"/>
        <v>1444999999999.9998</v>
      </c>
      <c r="K52" s="104">
        <f t="shared" si="21"/>
        <v>1444999999999.9998</v>
      </c>
      <c r="L52" s="104">
        <f t="shared" si="21"/>
        <v>1359999999999.9998</v>
      </c>
      <c r="M52" s="104">
        <f t="shared" si="21"/>
        <v>1104999999999.9998</v>
      </c>
      <c r="N52" s="104">
        <f t="shared" si="21"/>
        <v>1019999999999.9998</v>
      </c>
      <c r="O52" s="105">
        <f t="shared" si="21"/>
        <v>0</v>
      </c>
      <c r="P52" s="103">
        <f t="shared" si="21"/>
        <v>1359999999999.9998</v>
      </c>
      <c r="Q52" s="104">
        <f t="shared" si="21"/>
        <v>0</v>
      </c>
      <c r="R52" s="104">
        <f t="shared" si="21"/>
        <v>0</v>
      </c>
      <c r="S52" s="104">
        <f t="shared" si="21"/>
        <v>0</v>
      </c>
      <c r="T52" s="104">
        <f t="shared" si="21"/>
        <v>0</v>
      </c>
      <c r="U52" s="105">
        <f t="shared" si="22"/>
        <v>0</v>
      </c>
      <c r="V52" s="104">
        <f t="shared" si="22"/>
        <v>1359999999999.9998</v>
      </c>
      <c r="W52" s="104">
        <f t="shared" si="22"/>
        <v>0</v>
      </c>
      <c r="X52" s="104">
        <f t="shared" si="22"/>
        <v>0</v>
      </c>
      <c r="Y52" s="104">
        <f t="shared" si="22"/>
        <v>0</v>
      </c>
      <c r="Z52" s="104">
        <f t="shared" si="22"/>
        <v>0</v>
      </c>
      <c r="AA52" s="105">
        <f t="shared" si="22"/>
        <v>0</v>
      </c>
    </row>
    <row r="53" spans="1:27" x14ac:dyDescent="0.25">
      <c r="A53" s="62">
        <v>1131370.8498984759</v>
      </c>
      <c r="B53" s="18" t="s">
        <v>2</v>
      </c>
      <c r="C53" s="70">
        <v>1</v>
      </c>
      <c r="D53" s="103">
        <f t="shared" si="23"/>
        <v>1359999999999.9998</v>
      </c>
      <c r="E53" s="104">
        <f t="shared" si="21"/>
        <v>1359999999999.9998</v>
      </c>
      <c r="F53" s="104">
        <f t="shared" si="21"/>
        <v>1279999999999.9998</v>
      </c>
      <c r="G53" s="104">
        <f t="shared" si="21"/>
        <v>1039999999999.9998</v>
      </c>
      <c r="H53" s="104">
        <f t="shared" si="21"/>
        <v>959999999999.99976</v>
      </c>
      <c r="I53" s="105">
        <f t="shared" si="21"/>
        <v>0</v>
      </c>
      <c r="J53" s="104">
        <f t="shared" si="21"/>
        <v>1359999999999.9998</v>
      </c>
      <c r="K53" s="104">
        <f t="shared" si="21"/>
        <v>1359999999999.9998</v>
      </c>
      <c r="L53" s="104">
        <f t="shared" si="21"/>
        <v>1279999999999.9998</v>
      </c>
      <c r="M53" s="104">
        <f t="shared" si="21"/>
        <v>1039999999999.9998</v>
      </c>
      <c r="N53" s="104">
        <f t="shared" si="21"/>
        <v>959999999999.99976</v>
      </c>
      <c r="O53" s="105">
        <f t="shared" si="21"/>
        <v>0</v>
      </c>
      <c r="P53" s="103">
        <f t="shared" si="21"/>
        <v>1279999999999.9998</v>
      </c>
      <c r="Q53" s="104">
        <f t="shared" si="21"/>
        <v>0</v>
      </c>
      <c r="R53" s="104">
        <f t="shared" si="21"/>
        <v>0</v>
      </c>
      <c r="S53" s="104">
        <f t="shared" si="21"/>
        <v>0</v>
      </c>
      <c r="T53" s="104">
        <f t="shared" si="21"/>
        <v>0</v>
      </c>
      <c r="U53" s="105">
        <f t="shared" si="22"/>
        <v>0</v>
      </c>
      <c r="V53" s="104">
        <f t="shared" si="22"/>
        <v>1279999999999.9998</v>
      </c>
      <c r="W53" s="104">
        <f t="shared" si="22"/>
        <v>0</v>
      </c>
      <c r="X53" s="104">
        <f t="shared" si="22"/>
        <v>0</v>
      </c>
      <c r="Y53" s="104">
        <f t="shared" si="22"/>
        <v>0</v>
      </c>
      <c r="Z53" s="104">
        <f t="shared" si="22"/>
        <v>0</v>
      </c>
      <c r="AA53" s="105">
        <f t="shared" si="22"/>
        <v>0</v>
      </c>
    </row>
    <row r="54" spans="1:27" x14ac:dyDescent="0.25">
      <c r="A54" s="62">
        <v>919238.81554251164</v>
      </c>
      <c r="B54" s="18" t="s">
        <v>2</v>
      </c>
      <c r="C54" s="70">
        <v>2</v>
      </c>
      <c r="D54" s="103">
        <f t="shared" si="23"/>
        <v>1104999999999.9998</v>
      </c>
      <c r="E54" s="104">
        <f t="shared" si="21"/>
        <v>1104999999999.9998</v>
      </c>
      <c r="F54" s="104">
        <f t="shared" si="21"/>
        <v>1039999999999.9998</v>
      </c>
      <c r="G54" s="104">
        <f t="shared" si="21"/>
        <v>844999999999.99976</v>
      </c>
      <c r="H54" s="104">
        <f t="shared" si="21"/>
        <v>779999999999.99976</v>
      </c>
      <c r="I54" s="105">
        <f t="shared" si="21"/>
        <v>0</v>
      </c>
      <c r="J54" s="104">
        <f t="shared" si="21"/>
        <v>1104999999999.9998</v>
      </c>
      <c r="K54" s="104">
        <f t="shared" si="21"/>
        <v>1104999999999.9998</v>
      </c>
      <c r="L54" s="104">
        <f t="shared" si="21"/>
        <v>1039999999999.9998</v>
      </c>
      <c r="M54" s="104">
        <f t="shared" si="21"/>
        <v>844999999999.99976</v>
      </c>
      <c r="N54" s="104">
        <f t="shared" si="21"/>
        <v>779999999999.99976</v>
      </c>
      <c r="O54" s="105">
        <f t="shared" si="21"/>
        <v>0</v>
      </c>
      <c r="P54" s="103">
        <f t="shared" si="21"/>
        <v>1039999999999.9998</v>
      </c>
      <c r="Q54" s="104">
        <f t="shared" si="21"/>
        <v>0</v>
      </c>
      <c r="R54" s="104">
        <f t="shared" si="21"/>
        <v>0</v>
      </c>
      <c r="S54" s="104">
        <f t="shared" si="21"/>
        <v>0</v>
      </c>
      <c r="T54" s="104">
        <f t="shared" si="21"/>
        <v>0</v>
      </c>
      <c r="U54" s="105">
        <f t="shared" si="22"/>
        <v>0</v>
      </c>
      <c r="V54" s="104">
        <f t="shared" si="22"/>
        <v>1039999999999.9998</v>
      </c>
      <c r="W54" s="104">
        <f t="shared" si="22"/>
        <v>0</v>
      </c>
      <c r="X54" s="104">
        <f t="shared" si="22"/>
        <v>0</v>
      </c>
      <c r="Y54" s="104">
        <f t="shared" si="22"/>
        <v>0</v>
      </c>
      <c r="Z54" s="104">
        <f t="shared" si="22"/>
        <v>0</v>
      </c>
      <c r="AA54" s="105">
        <f t="shared" si="22"/>
        <v>0</v>
      </c>
    </row>
    <row r="55" spans="1:27" x14ac:dyDescent="0.25">
      <c r="A55" s="62">
        <v>848528.13742385688</v>
      </c>
      <c r="B55" s="18" t="s">
        <v>2</v>
      </c>
      <c r="C55" s="70">
        <v>3</v>
      </c>
      <c r="D55" s="103">
        <f t="shared" si="23"/>
        <v>1019999999999.9998</v>
      </c>
      <c r="E55" s="104">
        <f t="shared" si="21"/>
        <v>1019999999999.9998</v>
      </c>
      <c r="F55" s="104">
        <f t="shared" si="21"/>
        <v>959999999999.99976</v>
      </c>
      <c r="G55" s="104">
        <f t="shared" si="21"/>
        <v>779999999999.99976</v>
      </c>
      <c r="H55" s="104">
        <f t="shared" si="21"/>
        <v>719999999999.99976</v>
      </c>
      <c r="I55" s="105">
        <f t="shared" si="21"/>
        <v>0</v>
      </c>
      <c r="J55" s="104">
        <f t="shared" si="21"/>
        <v>1019999999999.9998</v>
      </c>
      <c r="K55" s="104">
        <f t="shared" si="21"/>
        <v>1019999999999.9998</v>
      </c>
      <c r="L55" s="104">
        <f t="shared" si="21"/>
        <v>959999999999.99976</v>
      </c>
      <c r="M55" s="104">
        <f t="shared" si="21"/>
        <v>779999999999.99976</v>
      </c>
      <c r="N55" s="104">
        <f t="shared" si="21"/>
        <v>719999999999.99976</v>
      </c>
      <c r="O55" s="105">
        <f t="shared" si="21"/>
        <v>0</v>
      </c>
      <c r="P55" s="103">
        <f t="shared" si="21"/>
        <v>959999999999.99976</v>
      </c>
      <c r="Q55" s="104">
        <f t="shared" si="21"/>
        <v>0</v>
      </c>
      <c r="R55" s="104">
        <f t="shared" si="21"/>
        <v>0</v>
      </c>
      <c r="S55" s="104">
        <f t="shared" si="21"/>
        <v>0</v>
      </c>
      <c r="T55" s="104">
        <f t="shared" si="21"/>
        <v>0</v>
      </c>
      <c r="U55" s="105">
        <f t="shared" si="22"/>
        <v>0</v>
      </c>
      <c r="V55" s="104">
        <f t="shared" si="22"/>
        <v>959999999999.99976</v>
      </c>
      <c r="W55" s="104">
        <f t="shared" si="22"/>
        <v>0</v>
      </c>
      <c r="X55" s="104">
        <f t="shared" si="22"/>
        <v>0</v>
      </c>
      <c r="Y55" s="104">
        <f t="shared" si="22"/>
        <v>0</v>
      </c>
      <c r="Z55" s="104">
        <f t="shared" si="22"/>
        <v>0</v>
      </c>
      <c r="AA55" s="105">
        <f t="shared" si="22"/>
        <v>0</v>
      </c>
    </row>
    <row r="56" spans="1:27" x14ac:dyDescent="0.25">
      <c r="A56" s="63">
        <v>0</v>
      </c>
      <c r="B56" s="19" t="s">
        <v>2</v>
      </c>
      <c r="C56" s="66">
        <v>5</v>
      </c>
      <c r="D56" s="106">
        <f t="shared" si="23"/>
        <v>0</v>
      </c>
      <c r="E56" s="107">
        <f t="shared" si="21"/>
        <v>0</v>
      </c>
      <c r="F56" s="107">
        <f t="shared" si="21"/>
        <v>0</v>
      </c>
      <c r="G56" s="107">
        <f t="shared" si="21"/>
        <v>0</v>
      </c>
      <c r="H56" s="107">
        <f t="shared" si="21"/>
        <v>0</v>
      </c>
      <c r="I56" s="108">
        <f t="shared" si="21"/>
        <v>0</v>
      </c>
      <c r="J56" s="107">
        <f t="shared" si="21"/>
        <v>0</v>
      </c>
      <c r="K56" s="107">
        <f t="shared" si="21"/>
        <v>0</v>
      </c>
      <c r="L56" s="107">
        <f t="shared" si="21"/>
        <v>0</v>
      </c>
      <c r="M56" s="107">
        <f t="shared" si="21"/>
        <v>0</v>
      </c>
      <c r="N56" s="107">
        <f t="shared" si="21"/>
        <v>0</v>
      </c>
      <c r="O56" s="108">
        <f t="shared" si="21"/>
        <v>0</v>
      </c>
      <c r="P56" s="106">
        <f t="shared" si="21"/>
        <v>0</v>
      </c>
      <c r="Q56" s="107">
        <f t="shared" si="21"/>
        <v>0</v>
      </c>
      <c r="R56" s="107">
        <f t="shared" si="21"/>
        <v>0</v>
      </c>
      <c r="S56" s="107">
        <f t="shared" si="21"/>
        <v>0</v>
      </c>
      <c r="T56" s="107">
        <f t="shared" si="21"/>
        <v>0</v>
      </c>
      <c r="U56" s="108">
        <f t="shared" si="22"/>
        <v>0</v>
      </c>
      <c r="V56" s="107">
        <f t="shared" si="22"/>
        <v>0</v>
      </c>
      <c r="W56" s="107">
        <f t="shared" si="22"/>
        <v>0</v>
      </c>
      <c r="X56" s="107">
        <f t="shared" si="22"/>
        <v>0</v>
      </c>
      <c r="Y56" s="107">
        <f t="shared" si="22"/>
        <v>0</v>
      </c>
      <c r="Z56" s="107">
        <f t="shared" si="22"/>
        <v>0</v>
      </c>
      <c r="AA56" s="108">
        <f t="shared" si="22"/>
        <v>0</v>
      </c>
    </row>
    <row r="57" spans="1:27" x14ac:dyDescent="0.25">
      <c r="A57" s="62">
        <v>1202081.5280171307</v>
      </c>
      <c r="B57" s="18" t="s">
        <v>3</v>
      </c>
      <c r="C57" s="69">
        <v>0.25</v>
      </c>
      <c r="D57" s="103">
        <f t="shared" si="23"/>
        <v>1444999999999.9998</v>
      </c>
      <c r="E57" s="104">
        <f t="shared" si="21"/>
        <v>1444999999999.9998</v>
      </c>
      <c r="F57" s="104">
        <f t="shared" si="21"/>
        <v>1359999999999.9998</v>
      </c>
      <c r="G57" s="104">
        <f t="shared" si="21"/>
        <v>1104999999999.9998</v>
      </c>
      <c r="H57" s="104">
        <f t="shared" si="21"/>
        <v>1019999999999.9998</v>
      </c>
      <c r="I57" s="105">
        <f t="shared" si="21"/>
        <v>0</v>
      </c>
      <c r="J57" s="104">
        <f t="shared" si="21"/>
        <v>1444999999999.9998</v>
      </c>
      <c r="K57" s="104">
        <f t="shared" si="21"/>
        <v>1444999999999.9998</v>
      </c>
      <c r="L57" s="104">
        <f t="shared" si="21"/>
        <v>1359999999999.9998</v>
      </c>
      <c r="M57" s="104">
        <f t="shared" si="21"/>
        <v>1104999999999.9998</v>
      </c>
      <c r="N57" s="104">
        <f t="shared" si="21"/>
        <v>1019999999999.9998</v>
      </c>
      <c r="O57" s="105">
        <f t="shared" si="21"/>
        <v>0</v>
      </c>
      <c r="P57" s="103">
        <f t="shared" si="21"/>
        <v>1359999999999.9998</v>
      </c>
      <c r="Q57" s="104">
        <f t="shared" si="21"/>
        <v>0</v>
      </c>
      <c r="R57" s="104">
        <f t="shared" si="21"/>
        <v>0</v>
      </c>
      <c r="S57" s="104">
        <f t="shared" si="21"/>
        <v>0</v>
      </c>
      <c r="T57" s="104">
        <f t="shared" si="21"/>
        <v>0</v>
      </c>
      <c r="U57" s="105">
        <f t="shared" si="22"/>
        <v>0</v>
      </c>
      <c r="V57" s="104">
        <f t="shared" si="22"/>
        <v>1359999999999.9998</v>
      </c>
      <c r="W57" s="104">
        <f t="shared" si="22"/>
        <v>0</v>
      </c>
      <c r="X57" s="104">
        <f t="shared" si="22"/>
        <v>0</v>
      </c>
      <c r="Y57" s="104">
        <f t="shared" si="22"/>
        <v>0</v>
      </c>
      <c r="Z57" s="104">
        <f t="shared" si="22"/>
        <v>0</v>
      </c>
      <c r="AA57" s="105">
        <f t="shared" si="22"/>
        <v>0</v>
      </c>
    </row>
    <row r="58" spans="1:27" x14ac:dyDescent="0.25">
      <c r="A58" s="62">
        <v>1202081.5280171307</v>
      </c>
      <c r="B58" s="18" t="s">
        <v>3</v>
      </c>
      <c r="C58" s="70">
        <v>0.5</v>
      </c>
      <c r="D58" s="103">
        <f t="shared" si="23"/>
        <v>1444999999999.9998</v>
      </c>
      <c r="E58" s="104">
        <f t="shared" si="21"/>
        <v>1444999999999.9998</v>
      </c>
      <c r="F58" s="104">
        <f t="shared" si="21"/>
        <v>1359999999999.9998</v>
      </c>
      <c r="G58" s="104">
        <f t="shared" si="21"/>
        <v>1104999999999.9998</v>
      </c>
      <c r="H58" s="104">
        <f t="shared" si="21"/>
        <v>1019999999999.9998</v>
      </c>
      <c r="I58" s="105">
        <f t="shared" si="21"/>
        <v>0</v>
      </c>
      <c r="J58" s="104">
        <f t="shared" si="21"/>
        <v>1444999999999.9998</v>
      </c>
      <c r="K58" s="104">
        <f t="shared" si="21"/>
        <v>1444999999999.9998</v>
      </c>
      <c r="L58" s="104">
        <f t="shared" si="21"/>
        <v>1359999999999.9998</v>
      </c>
      <c r="M58" s="104">
        <f t="shared" si="21"/>
        <v>1104999999999.9998</v>
      </c>
      <c r="N58" s="104">
        <f t="shared" si="21"/>
        <v>1019999999999.9998</v>
      </c>
      <c r="O58" s="105">
        <f t="shared" si="21"/>
        <v>0</v>
      </c>
      <c r="P58" s="103">
        <f t="shared" si="21"/>
        <v>1359999999999.9998</v>
      </c>
      <c r="Q58" s="104">
        <f t="shared" si="21"/>
        <v>0</v>
      </c>
      <c r="R58" s="104">
        <f t="shared" si="21"/>
        <v>0</v>
      </c>
      <c r="S58" s="104">
        <f t="shared" si="21"/>
        <v>0</v>
      </c>
      <c r="T58" s="104">
        <f t="shared" si="21"/>
        <v>0</v>
      </c>
      <c r="U58" s="105">
        <f t="shared" si="22"/>
        <v>0</v>
      </c>
      <c r="V58" s="104">
        <f t="shared" si="22"/>
        <v>1359999999999.9998</v>
      </c>
      <c r="W58" s="104">
        <f t="shared" si="22"/>
        <v>0</v>
      </c>
      <c r="X58" s="104">
        <f t="shared" si="22"/>
        <v>0</v>
      </c>
      <c r="Y58" s="104">
        <f t="shared" si="22"/>
        <v>0</v>
      </c>
      <c r="Z58" s="104">
        <f t="shared" si="22"/>
        <v>0</v>
      </c>
      <c r="AA58" s="105">
        <f t="shared" si="22"/>
        <v>0</v>
      </c>
    </row>
    <row r="59" spans="1:27" x14ac:dyDescent="0.25">
      <c r="A59" s="62">
        <v>1131370.8498984759</v>
      </c>
      <c r="B59" s="18" t="s">
        <v>3</v>
      </c>
      <c r="C59" s="70">
        <v>1</v>
      </c>
      <c r="D59" s="103">
        <f t="shared" si="23"/>
        <v>1359999999999.9998</v>
      </c>
      <c r="E59" s="104">
        <f t="shared" si="21"/>
        <v>1359999999999.9998</v>
      </c>
      <c r="F59" s="104">
        <f t="shared" si="21"/>
        <v>1279999999999.9998</v>
      </c>
      <c r="G59" s="104">
        <f t="shared" si="21"/>
        <v>1039999999999.9998</v>
      </c>
      <c r="H59" s="104">
        <f t="shared" si="21"/>
        <v>959999999999.99976</v>
      </c>
      <c r="I59" s="105">
        <f t="shared" si="21"/>
        <v>0</v>
      </c>
      <c r="J59" s="104">
        <f t="shared" si="21"/>
        <v>1359999999999.9998</v>
      </c>
      <c r="K59" s="104">
        <f t="shared" si="21"/>
        <v>1359999999999.9998</v>
      </c>
      <c r="L59" s="104">
        <f t="shared" si="21"/>
        <v>1279999999999.9998</v>
      </c>
      <c r="M59" s="104">
        <f t="shared" si="21"/>
        <v>1039999999999.9998</v>
      </c>
      <c r="N59" s="104">
        <f t="shared" si="21"/>
        <v>959999999999.99976</v>
      </c>
      <c r="O59" s="105">
        <f t="shared" si="21"/>
        <v>0</v>
      </c>
      <c r="P59" s="103">
        <f t="shared" si="21"/>
        <v>1279999999999.9998</v>
      </c>
      <c r="Q59" s="104">
        <f t="shared" si="21"/>
        <v>0</v>
      </c>
      <c r="R59" s="104">
        <f t="shared" si="21"/>
        <v>0</v>
      </c>
      <c r="S59" s="104">
        <f t="shared" si="21"/>
        <v>0</v>
      </c>
      <c r="T59" s="104">
        <f t="shared" si="21"/>
        <v>0</v>
      </c>
      <c r="U59" s="105">
        <f t="shared" si="22"/>
        <v>0</v>
      </c>
      <c r="V59" s="104">
        <f t="shared" si="22"/>
        <v>1279999999999.9998</v>
      </c>
      <c r="W59" s="104">
        <f t="shared" si="22"/>
        <v>0</v>
      </c>
      <c r="X59" s="104">
        <f t="shared" si="22"/>
        <v>0</v>
      </c>
      <c r="Y59" s="104">
        <f t="shared" si="22"/>
        <v>0</v>
      </c>
      <c r="Z59" s="104">
        <f t="shared" si="22"/>
        <v>0</v>
      </c>
      <c r="AA59" s="105">
        <f t="shared" si="22"/>
        <v>0</v>
      </c>
    </row>
    <row r="60" spans="1:27" x14ac:dyDescent="0.25">
      <c r="A60" s="62">
        <v>919238.81554251164</v>
      </c>
      <c r="B60" s="18" t="s">
        <v>3</v>
      </c>
      <c r="C60" s="70">
        <v>2</v>
      </c>
      <c r="D60" s="103">
        <f t="shared" si="23"/>
        <v>1104999999999.9998</v>
      </c>
      <c r="E60" s="104">
        <f t="shared" si="21"/>
        <v>1104999999999.9998</v>
      </c>
      <c r="F60" s="104">
        <f t="shared" si="21"/>
        <v>1039999999999.9998</v>
      </c>
      <c r="G60" s="104">
        <f t="shared" si="21"/>
        <v>844999999999.99976</v>
      </c>
      <c r="H60" s="104">
        <f t="shared" si="21"/>
        <v>779999999999.99976</v>
      </c>
      <c r="I60" s="105">
        <f t="shared" si="21"/>
        <v>0</v>
      </c>
      <c r="J60" s="104">
        <f t="shared" si="21"/>
        <v>1104999999999.9998</v>
      </c>
      <c r="K60" s="104">
        <f t="shared" si="21"/>
        <v>1104999999999.9998</v>
      </c>
      <c r="L60" s="104">
        <f t="shared" si="21"/>
        <v>1039999999999.9998</v>
      </c>
      <c r="M60" s="104">
        <f t="shared" si="21"/>
        <v>844999999999.99976</v>
      </c>
      <c r="N60" s="104">
        <f t="shared" si="21"/>
        <v>779999999999.99976</v>
      </c>
      <c r="O60" s="105">
        <f t="shared" si="21"/>
        <v>0</v>
      </c>
      <c r="P60" s="103">
        <f t="shared" si="21"/>
        <v>1039999999999.9998</v>
      </c>
      <c r="Q60" s="104">
        <f t="shared" si="21"/>
        <v>0</v>
      </c>
      <c r="R60" s="104">
        <f t="shared" si="21"/>
        <v>0</v>
      </c>
      <c r="S60" s="104">
        <f t="shared" si="21"/>
        <v>0</v>
      </c>
      <c r="T60" s="104">
        <f t="shared" si="21"/>
        <v>0</v>
      </c>
      <c r="U60" s="105">
        <f t="shared" si="22"/>
        <v>0</v>
      </c>
      <c r="V60" s="104">
        <f t="shared" si="22"/>
        <v>1039999999999.9998</v>
      </c>
      <c r="W60" s="104">
        <f t="shared" si="22"/>
        <v>0</v>
      </c>
      <c r="X60" s="104">
        <f t="shared" si="22"/>
        <v>0</v>
      </c>
      <c r="Y60" s="104">
        <f t="shared" si="22"/>
        <v>0</v>
      </c>
      <c r="Z60" s="104">
        <f t="shared" si="22"/>
        <v>0</v>
      </c>
      <c r="AA60" s="105">
        <f t="shared" si="22"/>
        <v>0</v>
      </c>
    </row>
    <row r="61" spans="1:27" x14ac:dyDescent="0.25">
      <c r="A61" s="62">
        <v>848528.13742385688</v>
      </c>
      <c r="B61" s="18" t="s">
        <v>3</v>
      </c>
      <c r="C61" s="70">
        <v>3</v>
      </c>
      <c r="D61" s="103">
        <f t="shared" si="23"/>
        <v>1019999999999.9998</v>
      </c>
      <c r="E61" s="104">
        <f t="shared" si="21"/>
        <v>1019999999999.9998</v>
      </c>
      <c r="F61" s="104">
        <f t="shared" si="21"/>
        <v>959999999999.99976</v>
      </c>
      <c r="G61" s="104">
        <f t="shared" si="21"/>
        <v>779999999999.99976</v>
      </c>
      <c r="H61" s="104">
        <f t="shared" si="21"/>
        <v>719999999999.99976</v>
      </c>
      <c r="I61" s="105">
        <f t="shared" si="21"/>
        <v>0</v>
      </c>
      <c r="J61" s="104">
        <f t="shared" si="21"/>
        <v>1019999999999.9998</v>
      </c>
      <c r="K61" s="104">
        <f t="shared" si="21"/>
        <v>1019999999999.9998</v>
      </c>
      <c r="L61" s="104">
        <f t="shared" si="21"/>
        <v>959999999999.99976</v>
      </c>
      <c r="M61" s="104">
        <f t="shared" si="21"/>
        <v>779999999999.99976</v>
      </c>
      <c r="N61" s="104">
        <f t="shared" si="21"/>
        <v>719999999999.99976</v>
      </c>
      <c r="O61" s="105">
        <f t="shared" si="21"/>
        <v>0</v>
      </c>
      <c r="P61" s="103">
        <f t="shared" si="21"/>
        <v>959999999999.99976</v>
      </c>
      <c r="Q61" s="104">
        <f t="shared" si="21"/>
        <v>0</v>
      </c>
      <c r="R61" s="104">
        <f t="shared" si="21"/>
        <v>0</v>
      </c>
      <c r="S61" s="104">
        <f t="shared" si="21"/>
        <v>0</v>
      </c>
      <c r="T61" s="104">
        <f t="shared" si="21"/>
        <v>0</v>
      </c>
      <c r="U61" s="105">
        <f t="shared" si="22"/>
        <v>0</v>
      </c>
      <c r="V61" s="104">
        <f t="shared" si="22"/>
        <v>959999999999.99976</v>
      </c>
      <c r="W61" s="104">
        <f t="shared" si="22"/>
        <v>0</v>
      </c>
      <c r="X61" s="104">
        <f t="shared" si="22"/>
        <v>0</v>
      </c>
      <c r="Y61" s="104">
        <f t="shared" si="22"/>
        <v>0</v>
      </c>
      <c r="Z61" s="104">
        <f t="shared" si="22"/>
        <v>0</v>
      </c>
      <c r="AA61" s="105">
        <f t="shared" si="22"/>
        <v>0</v>
      </c>
    </row>
    <row r="62" spans="1:27" x14ac:dyDescent="0.25">
      <c r="A62" s="63">
        <v>0</v>
      </c>
      <c r="B62" s="19" t="s">
        <v>3</v>
      </c>
      <c r="C62" s="66">
        <v>5</v>
      </c>
      <c r="D62" s="106">
        <f t="shared" si="23"/>
        <v>0</v>
      </c>
      <c r="E62" s="107">
        <f t="shared" si="21"/>
        <v>0</v>
      </c>
      <c r="F62" s="107">
        <f t="shared" si="21"/>
        <v>0</v>
      </c>
      <c r="G62" s="107">
        <f t="shared" si="21"/>
        <v>0</v>
      </c>
      <c r="H62" s="107">
        <f t="shared" si="21"/>
        <v>0</v>
      </c>
      <c r="I62" s="108">
        <f t="shared" si="21"/>
        <v>0</v>
      </c>
      <c r="J62" s="107">
        <f t="shared" si="21"/>
        <v>0</v>
      </c>
      <c r="K62" s="107">
        <f t="shared" si="21"/>
        <v>0</v>
      </c>
      <c r="L62" s="107">
        <f t="shared" si="21"/>
        <v>0</v>
      </c>
      <c r="M62" s="107">
        <f t="shared" si="21"/>
        <v>0</v>
      </c>
      <c r="N62" s="107">
        <f t="shared" si="21"/>
        <v>0</v>
      </c>
      <c r="O62" s="108">
        <f t="shared" si="21"/>
        <v>0</v>
      </c>
      <c r="P62" s="106">
        <f t="shared" si="21"/>
        <v>0</v>
      </c>
      <c r="Q62" s="107">
        <f t="shared" si="21"/>
        <v>0</v>
      </c>
      <c r="R62" s="107">
        <f t="shared" si="21"/>
        <v>0</v>
      </c>
      <c r="S62" s="107">
        <f t="shared" si="21"/>
        <v>0</v>
      </c>
      <c r="T62" s="107">
        <f t="shared" si="21"/>
        <v>0</v>
      </c>
      <c r="U62" s="108">
        <f t="shared" si="22"/>
        <v>0</v>
      </c>
      <c r="V62" s="107">
        <f t="shared" si="22"/>
        <v>0</v>
      </c>
      <c r="W62" s="107">
        <f t="shared" si="22"/>
        <v>0</v>
      </c>
      <c r="X62" s="107">
        <f t="shared" si="22"/>
        <v>0</v>
      </c>
      <c r="Y62" s="107">
        <f t="shared" si="22"/>
        <v>0</v>
      </c>
      <c r="Z62" s="107">
        <f t="shared" si="22"/>
        <v>0</v>
      </c>
      <c r="AA62" s="108">
        <f t="shared" si="22"/>
        <v>0</v>
      </c>
    </row>
    <row r="63" spans="1:27" x14ac:dyDescent="0.25">
      <c r="A63" s="61">
        <v>1131370.8498984759</v>
      </c>
      <c r="B63" s="18" t="s">
        <v>8</v>
      </c>
      <c r="C63" s="69">
        <v>0.25</v>
      </c>
      <c r="D63" s="100">
        <f t="shared" si="23"/>
        <v>1359999999999.9998</v>
      </c>
      <c r="E63" s="101">
        <f t="shared" si="21"/>
        <v>1359999999999.9998</v>
      </c>
      <c r="F63" s="101">
        <f t="shared" si="21"/>
        <v>1279999999999.9998</v>
      </c>
      <c r="G63" s="101">
        <f t="shared" si="21"/>
        <v>1039999999999.9998</v>
      </c>
      <c r="H63" s="101">
        <f t="shared" si="21"/>
        <v>959999999999.99976</v>
      </c>
      <c r="I63" s="102">
        <f t="shared" si="21"/>
        <v>0</v>
      </c>
      <c r="J63" s="101">
        <f t="shared" si="21"/>
        <v>1359999999999.9998</v>
      </c>
      <c r="K63" s="101">
        <f t="shared" si="21"/>
        <v>1359999999999.9998</v>
      </c>
      <c r="L63" s="101">
        <f t="shared" si="21"/>
        <v>1279999999999.9998</v>
      </c>
      <c r="M63" s="101">
        <f t="shared" si="21"/>
        <v>1039999999999.9998</v>
      </c>
      <c r="N63" s="101">
        <f t="shared" si="21"/>
        <v>959999999999.99976</v>
      </c>
      <c r="O63" s="102">
        <f t="shared" si="21"/>
        <v>0</v>
      </c>
      <c r="P63" s="100">
        <f t="shared" si="21"/>
        <v>1279999999999.9998</v>
      </c>
      <c r="Q63" s="101">
        <f t="shared" si="21"/>
        <v>0</v>
      </c>
      <c r="R63" s="101">
        <f t="shared" si="21"/>
        <v>0</v>
      </c>
      <c r="S63" s="101">
        <f t="shared" si="21"/>
        <v>0</v>
      </c>
      <c r="T63" s="101">
        <f t="shared" si="21"/>
        <v>0</v>
      </c>
      <c r="U63" s="102">
        <f t="shared" si="22"/>
        <v>0</v>
      </c>
      <c r="V63" s="101">
        <f t="shared" si="22"/>
        <v>1279999999999.9998</v>
      </c>
      <c r="W63" s="101">
        <f t="shared" si="22"/>
        <v>0</v>
      </c>
      <c r="X63" s="101">
        <f t="shared" si="22"/>
        <v>0</v>
      </c>
      <c r="Y63" s="101">
        <f t="shared" si="22"/>
        <v>0</v>
      </c>
      <c r="Z63" s="101">
        <f t="shared" si="22"/>
        <v>0</v>
      </c>
      <c r="AA63" s="102">
        <f t="shared" si="22"/>
        <v>0</v>
      </c>
    </row>
    <row r="64" spans="1:27" x14ac:dyDescent="0.25">
      <c r="A64" s="62">
        <v>0</v>
      </c>
      <c r="B64" s="18" t="s">
        <v>8</v>
      </c>
      <c r="C64" s="70">
        <v>0.5</v>
      </c>
      <c r="D64" s="103">
        <f t="shared" si="23"/>
        <v>0</v>
      </c>
      <c r="E64" s="104">
        <f t="shared" si="21"/>
        <v>0</v>
      </c>
      <c r="F64" s="104">
        <f t="shared" si="21"/>
        <v>0</v>
      </c>
      <c r="G64" s="104">
        <f t="shared" si="21"/>
        <v>0</v>
      </c>
      <c r="H64" s="104">
        <f t="shared" si="21"/>
        <v>0</v>
      </c>
      <c r="I64" s="105">
        <f t="shared" si="21"/>
        <v>0</v>
      </c>
      <c r="J64" s="104">
        <f t="shared" si="21"/>
        <v>0</v>
      </c>
      <c r="K64" s="104">
        <f t="shared" si="21"/>
        <v>0</v>
      </c>
      <c r="L64" s="104">
        <f t="shared" si="21"/>
        <v>0</v>
      </c>
      <c r="M64" s="104">
        <f t="shared" si="21"/>
        <v>0</v>
      </c>
      <c r="N64" s="104">
        <f t="shared" si="21"/>
        <v>0</v>
      </c>
      <c r="O64" s="105">
        <f t="shared" si="21"/>
        <v>0</v>
      </c>
      <c r="P64" s="103">
        <f t="shared" si="21"/>
        <v>0</v>
      </c>
      <c r="Q64" s="104">
        <f t="shared" si="21"/>
        <v>0</v>
      </c>
      <c r="R64" s="104">
        <f t="shared" si="21"/>
        <v>0</v>
      </c>
      <c r="S64" s="104">
        <f t="shared" si="21"/>
        <v>0</v>
      </c>
      <c r="T64" s="104">
        <f t="shared" si="21"/>
        <v>0</v>
      </c>
      <c r="U64" s="105">
        <f t="shared" si="22"/>
        <v>0</v>
      </c>
      <c r="V64" s="104">
        <f t="shared" si="22"/>
        <v>0</v>
      </c>
      <c r="W64" s="104">
        <f t="shared" si="22"/>
        <v>0</v>
      </c>
      <c r="X64" s="104">
        <f t="shared" si="22"/>
        <v>0</v>
      </c>
      <c r="Y64" s="104">
        <f t="shared" si="22"/>
        <v>0</v>
      </c>
      <c r="Z64" s="104">
        <f t="shared" si="22"/>
        <v>0</v>
      </c>
      <c r="AA64" s="105">
        <f t="shared" si="22"/>
        <v>0</v>
      </c>
    </row>
    <row r="65" spans="1:27" x14ac:dyDescent="0.25">
      <c r="A65" s="62">
        <v>0</v>
      </c>
      <c r="B65" s="18" t="s">
        <v>8</v>
      </c>
      <c r="C65" s="70">
        <v>1</v>
      </c>
      <c r="D65" s="103">
        <f t="shared" si="23"/>
        <v>0</v>
      </c>
      <c r="E65" s="104">
        <f t="shared" si="21"/>
        <v>0</v>
      </c>
      <c r="F65" s="104">
        <f t="shared" si="21"/>
        <v>0</v>
      </c>
      <c r="G65" s="104">
        <f t="shared" si="21"/>
        <v>0</v>
      </c>
      <c r="H65" s="104">
        <f t="shared" si="21"/>
        <v>0</v>
      </c>
      <c r="I65" s="105">
        <f t="shared" si="21"/>
        <v>0</v>
      </c>
      <c r="J65" s="104">
        <f t="shared" si="21"/>
        <v>0</v>
      </c>
      <c r="K65" s="104">
        <f t="shared" si="21"/>
        <v>0</v>
      </c>
      <c r="L65" s="104">
        <f t="shared" si="21"/>
        <v>0</v>
      </c>
      <c r="M65" s="104">
        <f t="shared" si="21"/>
        <v>0</v>
      </c>
      <c r="N65" s="104">
        <f t="shared" si="21"/>
        <v>0</v>
      </c>
      <c r="O65" s="105">
        <f t="shared" si="21"/>
        <v>0</v>
      </c>
      <c r="P65" s="103">
        <f t="shared" si="21"/>
        <v>0</v>
      </c>
      <c r="Q65" s="104">
        <f t="shared" si="21"/>
        <v>0</v>
      </c>
      <c r="R65" s="104">
        <f t="shared" si="21"/>
        <v>0</v>
      </c>
      <c r="S65" s="104">
        <f t="shared" si="21"/>
        <v>0</v>
      </c>
      <c r="T65" s="104">
        <f t="shared" si="21"/>
        <v>0</v>
      </c>
      <c r="U65" s="105">
        <f t="shared" si="22"/>
        <v>0</v>
      </c>
      <c r="V65" s="104">
        <f t="shared" si="22"/>
        <v>0</v>
      </c>
      <c r="W65" s="104">
        <f t="shared" si="22"/>
        <v>0</v>
      </c>
      <c r="X65" s="104">
        <f t="shared" si="22"/>
        <v>0</v>
      </c>
      <c r="Y65" s="104">
        <f t="shared" si="22"/>
        <v>0</v>
      </c>
      <c r="Z65" s="104">
        <f t="shared" si="22"/>
        <v>0</v>
      </c>
      <c r="AA65" s="105">
        <f t="shared" si="22"/>
        <v>0</v>
      </c>
    </row>
    <row r="66" spans="1:27" x14ac:dyDescent="0.25">
      <c r="A66" s="62">
        <v>0</v>
      </c>
      <c r="B66" s="18" t="s">
        <v>8</v>
      </c>
      <c r="C66" s="70">
        <v>2</v>
      </c>
      <c r="D66" s="103">
        <f t="shared" si="23"/>
        <v>0</v>
      </c>
      <c r="E66" s="104">
        <f t="shared" si="21"/>
        <v>0</v>
      </c>
      <c r="F66" s="104">
        <f t="shared" si="21"/>
        <v>0</v>
      </c>
      <c r="G66" s="104">
        <f t="shared" si="21"/>
        <v>0</v>
      </c>
      <c r="H66" s="104">
        <f t="shared" si="21"/>
        <v>0</v>
      </c>
      <c r="I66" s="105">
        <f t="shared" si="21"/>
        <v>0</v>
      </c>
      <c r="J66" s="104">
        <f t="shared" si="21"/>
        <v>0</v>
      </c>
      <c r="K66" s="104">
        <f t="shared" si="21"/>
        <v>0</v>
      </c>
      <c r="L66" s="104">
        <f t="shared" si="21"/>
        <v>0</v>
      </c>
      <c r="M66" s="104">
        <f t="shared" si="21"/>
        <v>0</v>
      </c>
      <c r="N66" s="104">
        <f t="shared" si="21"/>
        <v>0</v>
      </c>
      <c r="O66" s="105">
        <f t="shared" si="21"/>
        <v>0</v>
      </c>
      <c r="P66" s="103">
        <f t="shared" si="21"/>
        <v>0</v>
      </c>
      <c r="Q66" s="104">
        <f t="shared" si="21"/>
        <v>0</v>
      </c>
      <c r="R66" s="104">
        <f t="shared" si="21"/>
        <v>0</v>
      </c>
      <c r="S66" s="104">
        <f t="shared" si="21"/>
        <v>0</v>
      </c>
      <c r="T66" s="104">
        <f t="shared" ref="T66:AA74" si="24">+$A66*T$48</f>
        <v>0</v>
      </c>
      <c r="U66" s="105">
        <f t="shared" si="22"/>
        <v>0</v>
      </c>
      <c r="V66" s="104">
        <f t="shared" si="22"/>
        <v>0</v>
      </c>
      <c r="W66" s="104">
        <f t="shared" si="22"/>
        <v>0</v>
      </c>
      <c r="X66" s="104">
        <f t="shared" si="22"/>
        <v>0</v>
      </c>
      <c r="Y66" s="104">
        <f t="shared" si="22"/>
        <v>0</v>
      </c>
      <c r="Z66" s="104">
        <f t="shared" si="22"/>
        <v>0</v>
      </c>
      <c r="AA66" s="105">
        <f t="shared" si="22"/>
        <v>0</v>
      </c>
    </row>
    <row r="67" spans="1:27" x14ac:dyDescent="0.25">
      <c r="A67" s="62">
        <v>0</v>
      </c>
      <c r="B67" s="18" t="s">
        <v>8</v>
      </c>
      <c r="C67" s="70">
        <v>3</v>
      </c>
      <c r="D67" s="103">
        <f t="shared" si="23"/>
        <v>0</v>
      </c>
      <c r="E67" s="104">
        <f t="shared" si="23"/>
        <v>0</v>
      </c>
      <c r="F67" s="104">
        <f t="shared" si="23"/>
        <v>0</v>
      </c>
      <c r="G67" s="104">
        <f t="shared" si="23"/>
        <v>0</v>
      </c>
      <c r="H67" s="104">
        <f t="shared" si="23"/>
        <v>0</v>
      </c>
      <c r="I67" s="105">
        <f t="shared" si="23"/>
        <v>0</v>
      </c>
      <c r="J67" s="104">
        <f t="shared" si="23"/>
        <v>0</v>
      </c>
      <c r="K67" s="104">
        <f t="shared" si="23"/>
        <v>0</v>
      </c>
      <c r="L67" s="104">
        <f t="shared" si="23"/>
        <v>0</v>
      </c>
      <c r="M67" s="104">
        <f t="shared" si="23"/>
        <v>0</v>
      </c>
      <c r="N67" s="104">
        <f t="shared" si="23"/>
        <v>0</v>
      </c>
      <c r="O67" s="105">
        <f t="shared" si="23"/>
        <v>0</v>
      </c>
      <c r="P67" s="103">
        <f t="shared" si="23"/>
        <v>0</v>
      </c>
      <c r="Q67" s="104">
        <f t="shared" si="23"/>
        <v>0</v>
      </c>
      <c r="R67" s="104">
        <f t="shared" si="23"/>
        <v>0</v>
      </c>
      <c r="S67" s="104">
        <f t="shared" si="23"/>
        <v>0</v>
      </c>
      <c r="T67" s="104">
        <f t="shared" si="24"/>
        <v>0</v>
      </c>
      <c r="U67" s="105">
        <f t="shared" si="24"/>
        <v>0</v>
      </c>
      <c r="V67" s="104">
        <f t="shared" si="24"/>
        <v>0</v>
      </c>
      <c r="W67" s="104">
        <f t="shared" si="24"/>
        <v>0</v>
      </c>
      <c r="X67" s="104">
        <f t="shared" si="24"/>
        <v>0</v>
      </c>
      <c r="Y67" s="104">
        <f t="shared" si="24"/>
        <v>0</v>
      </c>
      <c r="Z67" s="104">
        <f t="shared" si="24"/>
        <v>0</v>
      </c>
      <c r="AA67" s="105">
        <f t="shared" si="24"/>
        <v>0</v>
      </c>
    </row>
    <row r="68" spans="1:27" x14ac:dyDescent="0.25">
      <c r="A68" s="63">
        <v>0</v>
      </c>
      <c r="B68" s="19" t="s">
        <v>8</v>
      </c>
      <c r="C68" s="66">
        <v>5</v>
      </c>
      <c r="D68" s="106">
        <f t="shared" ref="D68:S74" si="25">+$A68*D$48</f>
        <v>0</v>
      </c>
      <c r="E68" s="107">
        <f t="shared" si="25"/>
        <v>0</v>
      </c>
      <c r="F68" s="107">
        <f t="shared" si="25"/>
        <v>0</v>
      </c>
      <c r="G68" s="107">
        <f t="shared" si="25"/>
        <v>0</v>
      </c>
      <c r="H68" s="107">
        <f t="shared" si="25"/>
        <v>0</v>
      </c>
      <c r="I68" s="108">
        <f t="shared" si="25"/>
        <v>0</v>
      </c>
      <c r="J68" s="107">
        <f t="shared" si="25"/>
        <v>0</v>
      </c>
      <c r="K68" s="107">
        <f t="shared" si="25"/>
        <v>0</v>
      </c>
      <c r="L68" s="107">
        <f t="shared" si="25"/>
        <v>0</v>
      </c>
      <c r="M68" s="107">
        <f t="shared" si="25"/>
        <v>0</v>
      </c>
      <c r="N68" s="107">
        <f t="shared" si="25"/>
        <v>0</v>
      </c>
      <c r="O68" s="108">
        <f t="shared" si="25"/>
        <v>0</v>
      </c>
      <c r="P68" s="106">
        <f t="shared" si="25"/>
        <v>0</v>
      </c>
      <c r="Q68" s="107">
        <f t="shared" si="25"/>
        <v>0</v>
      </c>
      <c r="R68" s="107">
        <f t="shared" si="25"/>
        <v>0</v>
      </c>
      <c r="S68" s="107">
        <f t="shared" si="25"/>
        <v>0</v>
      </c>
      <c r="T68" s="107">
        <f t="shared" si="24"/>
        <v>0</v>
      </c>
      <c r="U68" s="108">
        <f t="shared" si="24"/>
        <v>0</v>
      </c>
      <c r="V68" s="107">
        <f t="shared" si="24"/>
        <v>0</v>
      </c>
      <c r="W68" s="107">
        <f t="shared" si="24"/>
        <v>0</v>
      </c>
      <c r="X68" s="107">
        <f t="shared" si="24"/>
        <v>0</v>
      </c>
      <c r="Y68" s="107">
        <f t="shared" si="24"/>
        <v>0</v>
      </c>
      <c r="Z68" s="107">
        <f t="shared" si="24"/>
        <v>0</v>
      </c>
      <c r="AA68" s="108">
        <f t="shared" si="24"/>
        <v>0</v>
      </c>
    </row>
    <row r="69" spans="1:27" x14ac:dyDescent="0.25">
      <c r="A69" s="62">
        <v>1131370.8498984759</v>
      </c>
      <c r="B69" s="18" t="s">
        <v>8</v>
      </c>
      <c r="C69" s="69">
        <v>0.25</v>
      </c>
      <c r="D69" s="103">
        <f t="shared" si="25"/>
        <v>1359999999999.9998</v>
      </c>
      <c r="E69" s="104">
        <f t="shared" si="25"/>
        <v>1359999999999.9998</v>
      </c>
      <c r="F69" s="104">
        <f t="shared" si="25"/>
        <v>1279999999999.9998</v>
      </c>
      <c r="G69" s="104">
        <f t="shared" si="25"/>
        <v>1039999999999.9998</v>
      </c>
      <c r="H69" s="104">
        <f t="shared" si="25"/>
        <v>959999999999.99976</v>
      </c>
      <c r="I69" s="105">
        <f t="shared" si="25"/>
        <v>0</v>
      </c>
      <c r="J69" s="104">
        <f t="shared" si="25"/>
        <v>1359999999999.9998</v>
      </c>
      <c r="K69" s="104">
        <f t="shared" si="25"/>
        <v>1359999999999.9998</v>
      </c>
      <c r="L69" s="104">
        <f t="shared" si="25"/>
        <v>1279999999999.9998</v>
      </c>
      <c r="M69" s="104">
        <f t="shared" si="25"/>
        <v>1039999999999.9998</v>
      </c>
      <c r="N69" s="104">
        <f t="shared" si="25"/>
        <v>959999999999.99976</v>
      </c>
      <c r="O69" s="105">
        <f t="shared" si="25"/>
        <v>0</v>
      </c>
      <c r="P69" s="103">
        <f t="shared" si="25"/>
        <v>1279999999999.9998</v>
      </c>
      <c r="Q69" s="104">
        <f t="shared" si="25"/>
        <v>0</v>
      </c>
      <c r="R69" s="104">
        <f t="shared" si="25"/>
        <v>0</v>
      </c>
      <c r="S69" s="104">
        <f t="shared" si="25"/>
        <v>0</v>
      </c>
      <c r="T69" s="104">
        <f t="shared" si="24"/>
        <v>0</v>
      </c>
      <c r="U69" s="105">
        <f t="shared" si="24"/>
        <v>0</v>
      </c>
      <c r="V69" s="104">
        <f t="shared" si="24"/>
        <v>1279999999999.9998</v>
      </c>
      <c r="W69" s="104">
        <f t="shared" si="24"/>
        <v>0</v>
      </c>
      <c r="X69" s="104">
        <f t="shared" si="24"/>
        <v>0</v>
      </c>
      <c r="Y69" s="104">
        <f t="shared" si="24"/>
        <v>0</v>
      </c>
      <c r="Z69" s="104">
        <f t="shared" si="24"/>
        <v>0</v>
      </c>
      <c r="AA69" s="105">
        <f t="shared" si="24"/>
        <v>0</v>
      </c>
    </row>
    <row r="70" spans="1:27" x14ac:dyDescent="0.25">
      <c r="A70" s="62">
        <v>0</v>
      </c>
      <c r="B70" s="18" t="s">
        <v>8</v>
      </c>
      <c r="C70" s="70">
        <v>0.5</v>
      </c>
      <c r="D70" s="103">
        <f t="shared" si="25"/>
        <v>0</v>
      </c>
      <c r="E70" s="104">
        <f t="shared" si="25"/>
        <v>0</v>
      </c>
      <c r="F70" s="104">
        <f t="shared" si="25"/>
        <v>0</v>
      </c>
      <c r="G70" s="104">
        <f t="shared" si="25"/>
        <v>0</v>
      </c>
      <c r="H70" s="104">
        <f t="shared" si="25"/>
        <v>0</v>
      </c>
      <c r="I70" s="105">
        <f t="shared" si="25"/>
        <v>0</v>
      </c>
      <c r="J70" s="104">
        <f t="shared" si="25"/>
        <v>0</v>
      </c>
      <c r="K70" s="104">
        <f t="shared" si="25"/>
        <v>0</v>
      </c>
      <c r="L70" s="104">
        <f t="shared" si="25"/>
        <v>0</v>
      </c>
      <c r="M70" s="104">
        <f t="shared" si="25"/>
        <v>0</v>
      </c>
      <c r="N70" s="104">
        <f t="shared" si="25"/>
        <v>0</v>
      </c>
      <c r="O70" s="105">
        <f t="shared" si="25"/>
        <v>0</v>
      </c>
      <c r="P70" s="103">
        <f t="shared" si="25"/>
        <v>0</v>
      </c>
      <c r="Q70" s="104">
        <f t="shared" si="25"/>
        <v>0</v>
      </c>
      <c r="R70" s="104">
        <f t="shared" si="25"/>
        <v>0</v>
      </c>
      <c r="S70" s="104">
        <f t="shared" si="25"/>
        <v>0</v>
      </c>
      <c r="T70" s="104">
        <f t="shared" si="24"/>
        <v>0</v>
      </c>
      <c r="U70" s="105">
        <f t="shared" si="24"/>
        <v>0</v>
      </c>
      <c r="V70" s="104">
        <f t="shared" si="24"/>
        <v>0</v>
      </c>
      <c r="W70" s="104">
        <f t="shared" si="24"/>
        <v>0</v>
      </c>
      <c r="X70" s="104">
        <f t="shared" si="24"/>
        <v>0</v>
      </c>
      <c r="Y70" s="104">
        <f t="shared" si="24"/>
        <v>0</v>
      </c>
      <c r="Z70" s="104">
        <f t="shared" si="24"/>
        <v>0</v>
      </c>
      <c r="AA70" s="105">
        <f t="shared" si="24"/>
        <v>0</v>
      </c>
    </row>
    <row r="71" spans="1:27" x14ac:dyDescent="0.25">
      <c r="A71" s="62">
        <v>0</v>
      </c>
      <c r="B71" s="18" t="s">
        <v>8</v>
      </c>
      <c r="C71" s="70">
        <v>1</v>
      </c>
      <c r="D71" s="103">
        <f t="shared" si="25"/>
        <v>0</v>
      </c>
      <c r="E71" s="104">
        <f t="shared" si="25"/>
        <v>0</v>
      </c>
      <c r="F71" s="104">
        <f t="shared" si="25"/>
        <v>0</v>
      </c>
      <c r="G71" s="104">
        <f t="shared" si="25"/>
        <v>0</v>
      </c>
      <c r="H71" s="104">
        <f t="shared" si="25"/>
        <v>0</v>
      </c>
      <c r="I71" s="105">
        <f t="shared" si="25"/>
        <v>0</v>
      </c>
      <c r="J71" s="104">
        <f t="shared" si="25"/>
        <v>0</v>
      </c>
      <c r="K71" s="104">
        <f t="shared" si="25"/>
        <v>0</v>
      </c>
      <c r="L71" s="104">
        <f t="shared" si="25"/>
        <v>0</v>
      </c>
      <c r="M71" s="104">
        <f t="shared" si="25"/>
        <v>0</v>
      </c>
      <c r="N71" s="104">
        <f t="shared" si="25"/>
        <v>0</v>
      </c>
      <c r="O71" s="105">
        <f t="shared" si="25"/>
        <v>0</v>
      </c>
      <c r="P71" s="103">
        <f t="shared" si="25"/>
        <v>0</v>
      </c>
      <c r="Q71" s="104">
        <f t="shared" si="25"/>
        <v>0</v>
      </c>
      <c r="R71" s="104">
        <f t="shared" si="25"/>
        <v>0</v>
      </c>
      <c r="S71" s="104">
        <f t="shared" si="25"/>
        <v>0</v>
      </c>
      <c r="T71" s="104">
        <f t="shared" si="24"/>
        <v>0</v>
      </c>
      <c r="U71" s="105">
        <f t="shared" si="24"/>
        <v>0</v>
      </c>
      <c r="V71" s="104">
        <f t="shared" si="24"/>
        <v>0</v>
      </c>
      <c r="W71" s="104">
        <f t="shared" si="24"/>
        <v>0</v>
      </c>
      <c r="X71" s="104">
        <f t="shared" si="24"/>
        <v>0</v>
      </c>
      <c r="Y71" s="104">
        <f t="shared" si="24"/>
        <v>0</v>
      </c>
      <c r="Z71" s="104">
        <f t="shared" si="24"/>
        <v>0</v>
      </c>
      <c r="AA71" s="105">
        <f t="shared" si="24"/>
        <v>0</v>
      </c>
    </row>
    <row r="72" spans="1:27" x14ac:dyDescent="0.25">
      <c r="A72" s="62">
        <v>0</v>
      </c>
      <c r="B72" s="18" t="s">
        <v>8</v>
      </c>
      <c r="C72" s="70">
        <v>2</v>
      </c>
      <c r="D72" s="103">
        <f t="shared" si="25"/>
        <v>0</v>
      </c>
      <c r="E72" s="104">
        <f t="shared" si="25"/>
        <v>0</v>
      </c>
      <c r="F72" s="104">
        <f t="shared" si="25"/>
        <v>0</v>
      </c>
      <c r="G72" s="104">
        <f t="shared" si="25"/>
        <v>0</v>
      </c>
      <c r="H72" s="104">
        <f t="shared" si="25"/>
        <v>0</v>
      </c>
      <c r="I72" s="105">
        <f t="shared" si="25"/>
        <v>0</v>
      </c>
      <c r="J72" s="104">
        <f t="shared" si="25"/>
        <v>0</v>
      </c>
      <c r="K72" s="104">
        <f t="shared" si="25"/>
        <v>0</v>
      </c>
      <c r="L72" s="104">
        <f t="shared" si="25"/>
        <v>0</v>
      </c>
      <c r="M72" s="104">
        <f t="shared" si="25"/>
        <v>0</v>
      </c>
      <c r="N72" s="104">
        <f t="shared" si="25"/>
        <v>0</v>
      </c>
      <c r="O72" s="105">
        <f t="shared" si="25"/>
        <v>0</v>
      </c>
      <c r="P72" s="103">
        <f t="shared" si="25"/>
        <v>0</v>
      </c>
      <c r="Q72" s="104">
        <f t="shared" si="25"/>
        <v>0</v>
      </c>
      <c r="R72" s="104">
        <f t="shared" si="25"/>
        <v>0</v>
      </c>
      <c r="S72" s="104">
        <f t="shared" si="25"/>
        <v>0</v>
      </c>
      <c r="T72" s="104">
        <f t="shared" si="24"/>
        <v>0</v>
      </c>
      <c r="U72" s="105">
        <f t="shared" si="24"/>
        <v>0</v>
      </c>
      <c r="V72" s="104">
        <f t="shared" si="24"/>
        <v>0</v>
      </c>
      <c r="W72" s="104">
        <f t="shared" si="24"/>
        <v>0</v>
      </c>
      <c r="X72" s="104">
        <f t="shared" si="24"/>
        <v>0</v>
      </c>
      <c r="Y72" s="104">
        <f t="shared" si="24"/>
        <v>0</v>
      </c>
      <c r="Z72" s="104">
        <f t="shared" si="24"/>
        <v>0</v>
      </c>
      <c r="AA72" s="105">
        <f t="shared" si="24"/>
        <v>0</v>
      </c>
    </row>
    <row r="73" spans="1:27" x14ac:dyDescent="0.25">
      <c r="A73" s="62">
        <v>0</v>
      </c>
      <c r="B73" s="18" t="s">
        <v>8</v>
      </c>
      <c r="C73" s="70">
        <v>3</v>
      </c>
      <c r="D73" s="103">
        <f t="shared" si="25"/>
        <v>0</v>
      </c>
      <c r="E73" s="104">
        <f t="shared" si="25"/>
        <v>0</v>
      </c>
      <c r="F73" s="104">
        <f t="shared" si="25"/>
        <v>0</v>
      </c>
      <c r="G73" s="104">
        <f t="shared" si="25"/>
        <v>0</v>
      </c>
      <c r="H73" s="104">
        <f t="shared" si="25"/>
        <v>0</v>
      </c>
      <c r="I73" s="105">
        <f t="shared" si="25"/>
        <v>0</v>
      </c>
      <c r="J73" s="104">
        <f t="shared" si="25"/>
        <v>0</v>
      </c>
      <c r="K73" s="104">
        <f t="shared" si="25"/>
        <v>0</v>
      </c>
      <c r="L73" s="104">
        <f t="shared" si="25"/>
        <v>0</v>
      </c>
      <c r="M73" s="104">
        <f t="shared" si="25"/>
        <v>0</v>
      </c>
      <c r="N73" s="104">
        <f t="shared" si="25"/>
        <v>0</v>
      </c>
      <c r="O73" s="105">
        <f t="shared" si="25"/>
        <v>0</v>
      </c>
      <c r="P73" s="103">
        <f t="shared" si="25"/>
        <v>0</v>
      </c>
      <c r="Q73" s="104">
        <f t="shared" si="25"/>
        <v>0</v>
      </c>
      <c r="R73" s="104">
        <f t="shared" si="25"/>
        <v>0</v>
      </c>
      <c r="S73" s="104">
        <f t="shared" si="25"/>
        <v>0</v>
      </c>
      <c r="T73" s="104">
        <f t="shared" si="24"/>
        <v>0</v>
      </c>
      <c r="U73" s="105">
        <f t="shared" si="24"/>
        <v>0</v>
      </c>
      <c r="V73" s="104">
        <f t="shared" si="24"/>
        <v>0</v>
      </c>
      <c r="W73" s="104">
        <f t="shared" si="24"/>
        <v>0</v>
      </c>
      <c r="X73" s="104">
        <f t="shared" si="24"/>
        <v>0</v>
      </c>
      <c r="Y73" s="104">
        <f t="shared" si="24"/>
        <v>0</v>
      </c>
      <c r="Z73" s="104">
        <f t="shared" si="24"/>
        <v>0</v>
      </c>
      <c r="AA73" s="105">
        <f t="shared" si="24"/>
        <v>0</v>
      </c>
    </row>
    <row r="74" spans="1:27" x14ac:dyDescent="0.25">
      <c r="A74" s="63">
        <v>0</v>
      </c>
      <c r="B74" s="19" t="s">
        <v>8</v>
      </c>
      <c r="C74" s="66">
        <v>5</v>
      </c>
      <c r="D74" s="106">
        <f t="shared" si="25"/>
        <v>0</v>
      </c>
      <c r="E74" s="107">
        <f t="shared" si="25"/>
        <v>0</v>
      </c>
      <c r="F74" s="107">
        <f t="shared" si="25"/>
        <v>0</v>
      </c>
      <c r="G74" s="107">
        <f t="shared" si="25"/>
        <v>0</v>
      </c>
      <c r="H74" s="107">
        <f t="shared" si="25"/>
        <v>0</v>
      </c>
      <c r="I74" s="108">
        <f t="shared" si="25"/>
        <v>0</v>
      </c>
      <c r="J74" s="107">
        <f t="shared" si="25"/>
        <v>0</v>
      </c>
      <c r="K74" s="107">
        <f t="shared" si="25"/>
        <v>0</v>
      </c>
      <c r="L74" s="107">
        <f t="shared" si="25"/>
        <v>0</v>
      </c>
      <c r="M74" s="107">
        <f t="shared" si="25"/>
        <v>0</v>
      </c>
      <c r="N74" s="107">
        <f t="shared" si="25"/>
        <v>0</v>
      </c>
      <c r="O74" s="108">
        <f t="shared" si="25"/>
        <v>0</v>
      </c>
      <c r="P74" s="106">
        <f t="shared" si="25"/>
        <v>0</v>
      </c>
      <c r="Q74" s="107">
        <f t="shared" si="25"/>
        <v>0</v>
      </c>
      <c r="R74" s="107">
        <f t="shared" si="25"/>
        <v>0</v>
      </c>
      <c r="S74" s="107">
        <f t="shared" si="25"/>
        <v>0</v>
      </c>
      <c r="T74" s="107">
        <f t="shared" si="24"/>
        <v>0</v>
      </c>
      <c r="U74" s="108">
        <f t="shared" si="24"/>
        <v>0</v>
      </c>
      <c r="V74" s="107">
        <f t="shared" si="24"/>
        <v>0</v>
      </c>
      <c r="W74" s="107">
        <f t="shared" si="24"/>
        <v>0</v>
      </c>
      <c r="X74" s="107">
        <f t="shared" si="24"/>
        <v>0</v>
      </c>
      <c r="Y74" s="107">
        <f t="shared" si="24"/>
        <v>0</v>
      </c>
      <c r="Z74" s="107">
        <f t="shared" si="24"/>
        <v>0</v>
      </c>
      <c r="AA74" s="108">
        <f t="shared" si="24"/>
        <v>0</v>
      </c>
    </row>
    <row r="77" spans="1:27" ht="15.75" x14ac:dyDescent="0.25">
      <c r="A77" s="1" t="s">
        <v>18</v>
      </c>
      <c r="C77" s="87">
        <f>+SQRT(SUMPRODUCT(D23:AA46,D51:AA74))</f>
        <v>10280535.909994194</v>
      </c>
    </row>
    <row r="78" spans="1:27" x14ac:dyDescent="0.25">
      <c r="A78" s="1" t="s">
        <v>19</v>
      </c>
      <c r="B78" s="46">
        <f>+correlaciones!$Y$2</f>
        <v>1</v>
      </c>
    </row>
  </sheetData>
  <dataValidations count="1">
    <dataValidation type="list" allowBlank="1" showInputMessage="1" showErrorMessage="1" sqref="A11" xr:uid="{00000000-0002-0000-0800-000000000000}">
      <formula1>"SI,NO"</formula1>
    </dataValidation>
  </dataValidations>
  <pageMargins left="0.7" right="0.7" top="0.75" bottom="0.75" header="0.3" footer="0.3"/>
  <pageSetup paperSize="9" orientation="portrait" verticalDpi="0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B6B0DB-B961-4745-BE22-574D619D4519}">
  <ds:schemaRefs>
    <ds:schemaRef ds:uri="urn:schemas-microsoft-com.SixFinancial.FinX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correlaciones</vt:lpstr>
      <vt:lpstr>delta GIRR 1</vt:lpstr>
      <vt:lpstr>delta GIRR 2</vt:lpstr>
      <vt:lpstr>delta GIRR 3</vt:lpstr>
      <vt:lpstr>delta GIRR 4</vt:lpstr>
      <vt:lpstr>delta GIRR 5</vt:lpstr>
      <vt:lpstr>delta GIRR 6</vt:lpstr>
      <vt:lpstr>ejercicio resuelto</vt:lpstr>
    </vt:vector>
  </TitlesOfParts>
  <Company>Produban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n70229</dc:creator>
  <cp:lastModifiedBy>Albakri Corregidor Wadie</cp:lastModifiedBy>
  <dcterms:created xsi:type="dcterms:W3CDTF">2016-09-27T10:28:50Z</dcterms:created>
  <dcterms:modified xsi:type="dcterms:W3CDTF">2026-03-02T10:42:10Z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2026-03-02T10:01:43Z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6627329b-bce9-4d60-9e56-1b2de9468541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</Properties>
</file>